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b5e5268e181cb04/Dokumenti/metodikaStatistike/"/>
    </mc:Choice>
  </mc:AlternateContent>
  <xr:revisionPtr revIDLastSave="9" documentId="11_421A050FDF965341FF49A1F0FD7FBD478938324D" xr6:coauthVersionLast="47" xr6:coauthVersionMax="47" xr10:uidLastSave="{2058F659-0E5C-47BF-A45C-E94C84CEAD8A}"/>
  <bookViews>
    <workbookView xWindow="14303" yWindow="720" windowWidth="21795" windowHeight="13875" activeTab="2" xr2:uid="{00000000-000D-0000-FFFF-FFFF00000000}"/>
  </bookViews>
  <sheets>
    <sheet name="Activity summary" sheetId="2" r:id="rId1"/>
    <sheet name="List2" sheetId="4" r:id="rId2"/>
    <sheet name="List1" sheetId="3" r:id="rId3"/>
  </sheets>
  <definedNames>
    <definedName name="_xlchart.v1.0" hidden="1">'Activity summary'!$K$4:$K$103</definedName>
  </definedNames>
  <calcPr calcId="191029" calcCompleted="0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M9" i="4"/>
  <c r="N9" i="4" s="1"/>
  <c r="M31" i="4"/>
  <c r="N31" i="4" s="1"/>
  <c r="M30" i="4"/>
  <c r="N30" i="4" s="1"/>
  <c r="M29" i="4"/>
  <c r="N29" i="4" s="1"/>
  <c r="M28" i="4"/>
  <c r="N28" i="4" s="1"/>
  <c r="M27" i="4"/>
  <c r="N27" i="4" s="1"/>
  <c r="M26" i="4"/>
  <c r="N26" i="4" s="1"/>
  <c r="M25" i="4"/>
  <c r="N25" i="4" s="1"/>
  <c r="M24" i="4"/>
  <c r="N24" i="4" s="1"/>
  <c r="M23" i="4"/>
  <c r="N23" i="4" s="1"/>
  <c r="M22" i="4"/>
  <c r="N22" i="4" s="1"/>
  <c r="M21" i="4"/>
  <c r="N21" i="4" s="1"/>
  <c r="M20" i="4"/>
  <c r="N20" i="4" s="1"/>
  <c r="M19" i="4"/>
  <c r="N19" i="4" s="1"/>
  <c r="M18" i="4"/>
  <c r="N18" i="4" s="1"/>
  <c r="M17" i="4"/>
  <c r="N17" i="4" s="1"/>
  <c r="M16" i="4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N10" i="4" s="1"/>
  <c r="M8" i="4"/>
  <c r="N8" i="4" s="1"/>
  <c r="M7" i="4"/>
  <c r="N7" i="4" s="1"/>
  <c r="M6" i="4"/>
  <c r="N6" i="4" s="1"/>
  <c r="M5" i="4"/>
  <c r="N5" i="4" s="1"/>
  <c r="M4" i="4"/>
  <c r="N4" i="4" s="1"/>
  <c r="M3" i="4"/>
  <c r="N3" i="4" s="1"/>
  <c r="M2" i="4"/>
  <c r="N2" i="4" s="1"/>
  <c r="D11" i="4"/>
  <c r="D10" i="4"/>
  <c r="D9" i="4"/>
  <c r="D8" i="4"/>
  <c r="D7" i="4"/>
  <c r="D6" i="4"/>
  <c r="D5" i="4"/>
  <c r="D4" i="4"/>
  <c r="D3" i="4"/>
  <c r="D2" i="4"/>
  <c r="AD39" i="3"/>
  <c r="AD87" i="3"/>
  <c r="AD6" i="3"/>
  <c r="AD14" i="3"/>
  <c r="AD52" i="3"/>
  <c r="AD65" i="3"/>
  <c r="AD77" i="3"/>
  <c r="AD60" i="3"/>
  <c r="AD3" i="3"/>
  <c r="AD99" i="3"/>
  <c r="AD9" i="3"/>
  <c r="AD5" i="3"/>
  <c r="AD10" i="3"/>
  <c r="AD28" i="3"/>
  <c r="AD26" i="3"/>
  <c r="AD61" i="3"/>
  <c r="AD69" i="3"/>
  <c r="AD29" i="3"/>
  <c r="AD30" i="3"/>
  <c r="AD44" i="3"/>
  <c r="AD63" i="3"/>
  <c r="AD55" i="3"/>
  <c r="AD8" i="3"/>
  <c r="AD42" i="3"/>
  <c r="AD93" i="3"/>
  <c r="AD23" i="3"/>
  <c r="AD92" i="3"/>
  <c r="AD72" i="3"/>
  <c r="AD36" i="3"/>
  <c r="AD25" i="3"/>
  <c r="AD81" i="3"/>
  <c r="AD98" i="3"/>
  <c r="AD34" i="3"/>
  <c r="AD45" i="3"/>
  <c r="AD22" i="3"/>
  <c r="AD4" i="3"/>
  <c r="AD40" i="3"/>
  <c r="AD71" i="3"/>
  <c r="AD88" i="3"/>
  <c r="AD74" i="3"/>
  <c r="AD101" i="3"/>
  <c r="AD51" i="3"/>
  <c r="AD13" i="3"/>
  <c r="AD41" i="3"/>
  <c r="AD46" i="3"/>
  <c r="AD37" i="3"/>
  <c r="AD66" i="3"/>
  <c r="AD56" i="3"/>
  <c r="AD35" i="3"/>
  <c r="AD19" i="3"/>
  <c r="AD100" i="3"/>
  <c r="AD95" i="3"/>
  <c r="AD80" i="3"/>
  <c r="AD43" i="3"/>
  <c r="AD84" i="3"/>
  <c r="AD70" i="3"/>
  <c r="AD78" i="3"/>
  <c r="AD97" i="3"/>
  <c r="AD49" i="3"/>
  <c r="AD31" i="3"/>
  <c r="AD82" i="3"/>
  <c r="AD20" i="3"/>
  <c r="AD62" i="3"/>
  <c r="AD79" i="3"/>
  <c r="AD33" i="3"/>
  <c r="AD15" i="3"/>
  <c r="AD85" i="3"/>
  <c r="AD75" i="3"/>
  <c r="AD90" i="3"/>
  <c r="AD76" i="3"/>
  <c r="AD58" i="3"/>
  <c r="AD64" i="3"/>
  <c r="AD53" i="3"/>
  <c r="AD48" i="3"/>
  <c r="AD67" i="3"/>
  <c r="AD18" i="3"/>
  <c r="AD24" i="3"/>
  <c r="AD73" i="3"/>
  <c r="AD21" i="3"/>
  <c r="AD11" i="3"/>
  <c r="AD96" i="3"/>
  <c r="AD83" i="3"/>
  <c r="AD94" i="3"/>
  <c r="AD102" i="3"/>
  <c r="AD7" i="3"/>
  <c r="AD86" i="3"/>
  <c r="AD27" i="3"/>
  <c r="AD32" i="3"/>
  <c r="AD54" i="3"/>
  <c r="AD12" i="3"/>
  <c r="AD50" i="3"/>
  <c r="AD68" i="3"/>
  <c r="AD91" i="3"/>
  <c r="AD16" i="3"/>
  <c r="AD89" i="3"/>
  <c r="AD38" i="3"/>
  <c r="AD47" i="3"/>
  <c r="AD57" i="3"/>
  <c r="AD17" i="3"/>
  <c r="AD59" i="3"/>
  <c r="Q11" i="4" l="1"/>
  <c r="Q7" i="4"/>
  <c r="Q3" i="4"/>
  <c r="Q10" i="4"/>
  <c r="Q6" i="4"/>
  <c r="Q2" i="4"/>
  <c r="Q9" i="4"/>
  <c r="Q5" i="4"/>
  <c r="Q8" i="4"/>
  <c r="Q4" i="4"/>
  <c r="W2" i="3"/>
  <c r="V2" i="3" s="1"/>
  <c r="W4" i="3"/>
  <c r="V4" i="3" s="1"/>
  <c r="W3" i="3"/>
  <c r="W9" i="3"/>
  <c r="V9" i="3" s="1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8" i="3"/>
  <c r="V8" i="3" s="1"/>
  <c r="W7" i="3"/>
  <c r="W6" i="3"/>
  <c r="W5" i="3"/>
  <c r="V5" i="3" l="1"/>
  <c r="V13" i="3"/>
  <c r="V21" i="3"/>
  <c r="V25" i="3"/>
  <c r="V29" i="3"/>
  <c r="V6" i="3"/>
  <c r="V10" i="3"/>
  <c r="V14" i="3"/>
  <c r="V18" i="3"/>
  <c r="V22" i="3"/>
  <c r="V26" i="3"/>
  <c r="V30" i="3"/>
  <c r="V3" i="3"/>
  <c r="V17" i="3"/>
  <c r="V11" i="3"/>
  <c r="V15" i="3"/>
  <c r="V19" i="3"/>
  <c r="V23" i="3"/>
  <c r="V27" i="3"/>
  <c r="V31" i="3"/>
  <c r="V7" i="3"/>
  <c r="V12" i="3"/>
  <c r="V16" i="3"/>
  <c r="V20" i="3"/>
  <c r="V24" i="3"/>
  <c r="V28" i="3"/>
  <c r="Y12" i="3" l="1"/>
  <c r="Y8" i="3"/>
  <c r="Y4" i="3"/>
  <c r="Y5" i="3"/>
  <c r="Y11" i="3"/>
  <c r="Y7" i="3"/>
  <c r="Y3" i="3"/>
  <c r="Y10" i="3"/>
  <c r="Y6" i="3"/>
  <c r="Y9" i="3"/>
  <c r="Y2" i="3"/>
</calcChain>
</file>

<file path=xl/sharedStrings.xml><?xml version="1.0" encoding="utf-8"?>
<sst xmlns="http://schemas.openxmlformats.org/spreadsheetml/2006/main" count="365" uniqueCount="64">
  <si>
    <t>Date</t>
  </si>
  <si>
    <t>Start_Time</t>
  </si>
  <si>
    <t>Event_Type</t>
  </si>
  <si>
    <t>Duration_Seconds</t>
  </si>
  <si>
    <t>Seconds_Paused</t>
  </si>
  <si>
    <t>Calories_Burned</t>
  </si>
  <si>
    <t>Calories_Burned_Carbs</t>
  </si>
  <si>
    <t>Calories_Burned_Fats</t>
  </si>
  <si>
    <t>HR_Lowest</t>
  </si>
  <si>
    <t>HR_Peak</t>
  </si>
  <si>
    <t>HR_Average</t>
  </si>
  <si>
    <t>UV_Exposure_Minutes</t>
  </si>
  <si>
    <t>Total_Miles_Moved</t>
  </si>
  <si>
    <t>Cardio_Benefit</t>
  </si>
  <si>
    <t>Minutes_Under_50%_HR</t>
  </si>
  <si>
    <t>Minutes_In_HRZ_Very_Light_50%_60%</t>
  </si>
  <si>
    <t>Minutes_In_HRZ_Light_60%_70%</t>
  </si>
  <si>
    <t>Minutes_In_HRZ_Moderate_70%_80%</t>
  </si>
  <si>
    <t>Minutes_In_HRZ_Hard_80%_90%</t>
  </si>
  <si>
    <t>Minutes_In_HRZ_Very_Hard_90%_Plus</t>
  </si>
  <si>
    <t>HR_Finish</t>
  </si>
  <si>
    <t>HR_Recovery_Rate_1_Min</t>
  </si>
  <si>
    <t>HR_Recovery_Rate_2_Min</t>
  </si>
  <si>
    <t>Recovery_Time_Seconds</t>
  </si>
  <si>
    <t>Bike_Average_MPH</t>
  </si>
  <si>
    <t>Bike_Max_MPH</t>
  </si>
  <si>
    <t>Elevation_Highest_Feet</t>
  </si>
  <si>
    <t>Elevation_Lowest_Feet</t>
  </si>
  <si>
    <t>Elevation_Gain_Feet</t>
  </si>
  <si>
    <t>Elevation_Loss_Feet</t>
  </si>
  <si>
    <t>Wake_Up_Time</t>
  </si>
  <si>
    <t>Seconds_Awake</t>
  </si>
  <si>
    <t>Seconds_Asleep_Total</t>
  </si>
  <si>
    <t>Seconds_Asleep_Restful</t>
  </si>
  <si>
    <t>Seconds_Asleep_Light</t>
  </si>
  <si>
    <t>Wake_Ups</t>
  </si>
  <si>
    <t>Seconds_to_Fall_Asleep</t>
  </si>
  <si>
    <t>Sleep_Efficiency</t>
  </si>
  <si>
    <t>Sleep_Restoration</t>
  </si>
  <si>
    <t>Sleep_HR_Resting</t>
  </si>
  <si>
    <t>Sleep_Auto_Detect</t>
  </si>
  <si>
    <t>GW_Plan_Name</t>
  </si>
  <si>
    <t>GW_Reps_Performed</t>
  </si>
  <si>
    <t>GW_Rounds_Performed</t>
  </si>
  <si>
    <t>Golf_Course_Name</t>
  </si>
  <si>
    <t>Golf_Course_Par</t>
  </si>
  <si>
    <t>Golf_Total_Score</t>
  </si>
  <si>
    <t>Golf_Par_or_Better</t>
  </si>
  <si>
    <t>Golf_Pace_of_Play_Minutes</t>
  </si>
  <si>
    <t>Golf_Longest_Drive_Yards</t>
  </si>
  <si>
    <t>Sleep</t>
  </si>
  <si>
    <t>Good</t>
  </si>
  <si>
    <t>Manual</t>
  </si>
  <si>
    <t>Moderate</t>
  </si>
  <si>
    <t>Optimal</t>
  </si>
  <si>
    <t>Auto</t>
  </si>
  <si>
    <t>Otkucaji</t>
  </si>
  <si>
    <t>Ukupni zbroj</t>
  </si>
  <si>
    <t>Broj od Otkucaji</t>
  </si>
  <si>
    <t>Zbroj</t>
  </si>
  <si>
    <t>Uzorak</t>
  </si>
  <si>
    <t>Natpisi redaka</t>
  </si>
  <si>
    <t>Slucajni</t>
  </si>
  <si>
    <t>Frekvencija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</si>
</sst>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164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/>
    <xf numFmtId="0" fontId="1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0" xfId="0" applyFont="1" applyBorder="1"/>
  </cellXfs>
  <cellStyles count="1">
    <cellStyle name="Normalno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List2!$D$1</c:f>
              <c:strCache>
                <c:ptCount val="1"/>
                <c:pt idx="0">
                  <c:v>Frekvencija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List2!$C$2:$C$11</c:f>
              <c:numCache>
                <c:formatCode>General</c:formatCode>
                <c:ptCount val="10"/>
                <c:pt idx="0">
                  <c:v>35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</c:numCache>
            </c:numRef>
          </c:cat>
          <c:val>
            <c:numRef>
              <c:f>List2!$D$2:$D$11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10</c:v>
                </c:pt>
                <c:pt idx="3">
                  <c:v>22</c:v>
                </c:pt>
                <c:pt idx="4">
                  <c:v>25</c:v>
                </c:pt>
                <c:pt idx="5">
                  <c:v>12</c:v>
                </c:pt>
                <c:pt idx="6">
                  <c:v>15</c:v>
                </c:pt>
                <c:pt idx="7">
                  <c:v>7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0-44E9-98C3-04D3C7511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175904"/>
        <c:axId val="640181152"/>
      </c:barChart>
      <c:catAx>
        <c:axId val="64017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81152"/>
        <c:crosses val="autoZero"/>
        <c:auto val="1"/>
        <c:lblAlgn val="ctr"/>
        <c:lblOffset val="100"/>
        <c:noMultiLvlLbl val="0"/>
      </c:catAx>
      <c:valAx>
        <c:axId val="6401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7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247594050743659E-2"/>
          <c:y val="0.1948611111111111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List2!$Q$1</c:f>
              <c:strCache>
                <c:ptCount val="1"/>
                <c:pt idx="0">
                  <c:v>Frekvencija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List2!$P$2:$P$11</c:f>
              <c:numCache>
                <c:formatCode>General</c:formatCode>
                <c:ptCount val="10"/>
                <c:pt idx="0">
                  <c:v>35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</c:numCache>
            </c:numRef>
          </c:cat>
          <c:val>
            <c:numRef>
              <c:f>List2!$Q$2:$Q$11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9-47E2-87F2-782131F3C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358888"/>
        <c:axId val="515055592"/>
      </c:barChart>
      <c:catAx>
        <c:axId val="64735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55592"/>
        <c:crosses val="autoZero"/>
        <c:auto val="1"/>
        <c:lblAlgn val="ctr"/>
        <c:lblOffset val="100"/>
        <c:noMultiLvlLbl val="0"/>
      </c:catAx>
      <c:valAx>
        <c:axId val="51505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5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[otkucajiSrca.xlsx]List1!Zaokretna tablica4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List1!$D$3:$D$4</c:f>
              <c:strCache>
                <c:ptCount val="1"/>
                <c:pt idx="0">
                  <c:v>Zbroj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List1!$C$5:$C$16</c:f>
              <c:strCache>
                <c:ptCount val="11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</c:strCache>
            </c:strRef>
          </c:cat>
          <c:val>
            <c:numRef>
              <c:f>List1!$D$5:$D$16</c:f>
              <c:numCache>
                <c:formatCode>General</c:formatCode>
                <c:ptCount val="11"/>
                <c:pt idx="0">
                  <c:v>1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14</c:v>
                </c:pt>
                <c:pt idx="5">
                  <c:v>11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3-4A29-A6A1-21AA09B08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562560"/>
        <c:axId val="454537304"/>
      </c:barChart>
      <c:catAx>
        <c:axId val="4545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37304"/>
        <c:crosses val="autoZero"/>
        <c:auto val="1"/>
        <c:lblAlgn val="ctr"/>
        <c:lblOffset val="100"/>
        <c:noMultiLvlLbl val="0"/>
      </c:catAx>
      <c:valAx>
        <c:axId val="45453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62560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Uzorak duljine 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List1!$Y$1</c:f>
              <c:strCache>
                <c:ptCount val="1"/>
                <c:pt idx="0">
                  <c:v>Frekvencija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List1!$X$2:$X$12</c:f>
              <c:numCache>
                <c:formatCode>General</c:formatCode>
                <c:ptCount val="11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</c:numCache>
            </c:numRef>
          </c:cat>
          <c:val>
            <c:numRef>
              <c:f>List1!$Y$2:$Y$12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E-4B83-B28E-A2587C4B5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021920"/>
        <c:axId val="513021264"/>
      </c:barChart>
      <c:catAx>
        <c:axId val="5130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21264"/>
        <c:crosses val="autoZero"/>
        <c:auto val="1"/>
        <c:lblAlgn val="ctr"/>
        <c:lblOffset val="100"/>
        <c:noMultiLvlLbl val="0"/>
      </c:catAx>
      <c:valAx>
        <c:axId val="5130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219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Prosjecan broj otkucaja srca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Prosjecan broj otkucaja srca</a:t>
          </a:r>
        </a:p>
      </cx:txPr>
    </cx:title>
    <cx:plotArea>
      <cx:plotAreaRegion>
        <cx:series layoutId="clusteredColumn" uniqueId="{8DFEE725-3D32-4F67-8981-170ADF5E894C}">
          <cx:dataId val="0"/>
          <cx:layoutPr>
            <cx:binning intervalClosed="r"/>
          </cx:layoutPr>
        </cx:series>
      </cx:plotAreaRegion>
      <cx:axis id="0">
        <cx:catScaling gapWidth="0.180000007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882650</xdr:colOff>
      <xdr:row>78</xdr:row>
      <xdr:rowOff>31750</xdr:rowOff>
    </xdr:from>
    <xdr:to>
      <xdr:col>14</xdr:col>
      <xdr:colOff>1104900</xdr:colOff>
      <xdr:row>95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kon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98525" y="14890750"/>
              <a:ext cx="4384675" cy="334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Taj dijagram nije dostupan u vašoj verziji programa Excel.
Uređivanjem ovoga oblika ili spremanjem radne knjige u drugi datotečni oblik trajno ćete oštetiti dijagram.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92075</xdr:colOff>
      <xdr:row>0</xdr:row>
      <xdr:rowOff>120650</xdr:rowOff>
    </xdr:from>
    <xdr:to>
      <xdr:col>11</xdr:col>
      <xdr:colOff>396875</xdr:colOff>
      <xdr:row>15</xdr:row>
      <xdr:rowOff>101600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73025</xdr:colOff>
      <xdr:row>15</xdr:row>
      <xdr:rowOff>0</xdr:rowOff>
    </xdr:from>
    <xdr:to>
      <xdr:col>11</xdr:col>
      <xdr:colOff>377825</xdr:colOff>
      <xdr:row>29</xdr:row>
      <xdr:rowOff>165100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57151</xdr:colOff>
      <xdr:row>10</xdr:row>
      <xdr:rowOff>185738</xdr:rowOff>
    </xdr:from>
    <xdr:to>
      <xdr:col>19</xdr:col>
      <xdr:colOff>498476</xdr:colOff>
      <xdr:row>27</xdr:row>
      <xdr:rowOff>171450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42863</xdr:colOff>
      <xdr:row>29</xdr:row>
      <xdr:rowOff>68263</xdr:rowOff>
    </xdr:from>
    <xdr:to>
      <xdr:col>19</xdr:col>
      <xdr:colOff>490538</xdr:colOff>
      <xdr:row>46</xdr:row>
      <xdr:rowOff>23813</xdr:rowOff>
    </xdr:to>
    <xdr:graphicFrame macro="">
      <xdr:nvGraphicFramePr>
        <xdr:cNvPr id="7" name="Grafiko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vrtko Tadic" refreshedDate="42481.4016505787" createdVersion="6" refreshedVersion="6" minRefreshableVersion="3" recordCount="100" xr:uid="{00000000-000A-0000-FFFF-FFFF00000000}">
  <cacheSource type="worksheet">
    <worksheetSource name="Tablica3"/>
  </cacheSource>
  <cacheFields count="1">
    <cacheField name="Otkucaji" numFmtId="0">
      <sharedItems containsSemiMixedTypes="0" containsString="0" containsNumber="1" containsInteger="1" minValue="47" maxValue="57" count="11">
        <n v="51"/>
        <n v="49"/>
        <n v="52"/>
        <n v="53"/>
        <n v="55"/>
        <n v="57"/>
        <n v="50"/>
        <n v="54"/>
        <n v="48"/>
        <n v="47"/>
        <n v="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vrtko Tadic" refreshedDate="42482.784757291665" createdVersion="6" refreshedVersion="6" minRefreshableVersion="3" recordCount="30" xr:uid="{00000000-000A-0000-FFFF-FFFF0F000000}">
  <cacheSource type="worksheet">
    <worksheetSource name="Tablica5"/>
  </cacheSource>
  <cacheFields count="1">
    <cacheField name="Otkucaji" numFmtId="0">
      <sharedItems containsSemiMixedTypes="0" containsString="0" containsNumber="1" containsInteger="1" minValue="48" maxValue="55" count="7">
        <n v="49"/>
        <n v="50"/>
        <n v="48"/>
        <n v="55"/>
        <n v="52"/>
        <n v="54"/>
        <n v="5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</r>
  <r>
    <x v="1"/>
  </r>
  <r>
    <x v="2"/>
  </r>
  <r>
    <x v="3"/>
  </r>
  <r>
    <x v="2"/>
  </r>
  <r>
    <x v="0"/>
  </r>
  <r>
    <x v="4"/>
  </r>
  <r>
    <x v="2"/>
  </r>
  <r>
    <x v="2"/>
  </r>
  <r>
    <x v="5"/>
  </r>
  <r>
    <x v="6"/>
  </r>
  <r>
    <x v="7"/>
  </r>
  <r>
    <x v="6"/>
  </r>
  <r>
    <x v="7"/>
  </r>
  <r>
    <x v="0"/>
  </r>
  <r>
    <x v="6"/>
  </r>
  <r>
    <x v="2"/>
  </r>
  <r>
    <x v="2"/>
  </r>
  <r>
    <x v="8"/>
  </r>
  <r>
    <x v="6"/>
  </r>
  <r>
    <x v="1"/>
  </r>
  <r>
    <x v="1"/>
  </r>
  <r>
    <x v="1"/>
  </r>
  <r>
    <x v="1"/>
  </r>
  <r>
    <x v="6"/>
  </r>
  <r>
    <x v="6"/>
  </r>
  <r>
    <x v="0"/>
  </r>
  <r>
    <x v="1"/>
  </r>
  <r>
    <x v="6"/>
  </r>
  <r>
    <x v="6"/>
  </r>
  <r>
    <x v="8"/>
  </r>
  <r>
    <x v="9"/>
  </r>
  <r>
    <x v="1"/>
  </r>
  <r>
    <x v="8"/>
  </r>
  <r>
    <x v="6"/>
  </r>
  <r>
    <x v="8"/>
  </r>
  <r>
    <x v="1"/>
  </r>
  <r>
    <x v="0"/>
  </r>
  <r>
    <x v="2"/>
  </r>
  <r>
    <x v="6"/>
  </r>
  <r>
    <x v="3"/>
  </r>
  <r>
    <x v="3"/>
  </r>
  <r>
    <x v="6"/>
  </r>
  <r>
    <x v="2"/>
  </r>
  <r>
    <x v="6"/>
  </r>
  <r>
    <x v="6"/>
  </r>
  <r>
    <x v="1"/>
  </r>
  <r>
    <x v="2"/>
  </r>
  <r>
    <x v="8"/>
  </r>
  <r>
    <x v="8"/>
  </r>
  <r>
    <x v="2"/>
  </r>
  <r>
    <x v="0"/>
  </r>
  <r>
    <x v="6"/>
  </r>
  <r>
    <x v="8"/>
  </r>
  <r>
    <x v="10"/>
  </r>
  <r>
    <x v="8"/>
  </r>
  <r>
    <x v="0"/>
  </r>
  <r>
    <x v="1"/>
  </r>
  <r>
    <x v="8"/>
  </r>
  <r>
    <x v="6"/>
  </r>
  <r>
    <x v="6"/>
  </r>
  <r>
    <x v="6"/>
  </r>
  <r>
    <x v="1"/>
  </r>
  <r>
    <x v="1"/>
  </r>
  <r>
    <x v="6"/>
  </r>
  <r>
    <x v="8"/>
  </r>
  <r>
    <x v="0"/>
  </r>
  <r>
    <x v="1"/>
  </r>
  <r>
    <x v="8"/>
  </r>
  <r>
    <x v="8"/>
  </r>
  <r>
    <x v="7"/>
  </r>
  <r>
    <x v="6"/>
  </r>
  <r>
    <x v="6"/>
  </r>
  <r>
    <x v="8"/>
  </r>
  <r>
    <x v="8"/>
  </r>
  <r>
    <x v="6"/>
  </r>
  <r>
    <x v="1"/>
  </r>
  <r>
    <x v="1"/>
  </r>
  <r>
    <x v="1"/>
  </r>
  <r>
    <x v="0"/>
  </r>
  <r>
    <x v="0"/>
  </r>
  <r>
    <x v="8"/>
  </r>
  <r>
    <x v="6"/>
  </r>
  <r>
    <x v="6"/>
  </r>
  <r>
    <x v="0"/>
  </r>
  <r>
    <x v="6"/>
  </r>
  <r>
    <x v="8"/>
  </r>
  <r>
    <x v="8"/>
  </r>
  <r>
    <x v="8"/>
  </r>
  <r>
    <x v="1"/>
  </r>
  <r>
    <x v="0"/>
  </r>
  <r>
    <x v="1"/>
  </r>
  <r>
    <x v="8"/>
  </r>
  <r>
    <x v="0"/>
  </r>
  <r>
    <x v="1"/>
  </r>
  <r>
    <x v="1"/>
  </r>
  <r>
    <x v="8"/>
  </r>
  <r>
    <x v="6"/>
  </r>
  <r>
    <x v="0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x v="0"/>
  </r>
  <r>
    <x v="1"/>
  </r>
  <r>
    <x v="2"/>
  </r>
  <r>
    <x v="1"/>
  </r>
  <r>
    <x v="1"/>
  </r>
  <r>
    <x v="0"/>
  </r>
  <r>
    <x v="0"/>
  </r>
  <r>
    <x v="2"/>
  </r>
  <r>
    <x v="0"/>
  </r>
  <r>
    <x v="1"/>
  </r>
  <r>
    <x v="0"/>
  </r>
  <r>
    <x v="2"/>
  </r>
  <r>
    <x v="1"/>
  </r>
  <r>
    <x v="3"/>
  </r>
  <r>
    <x v="0"/>
  </r>
  <r>
    <x v="1"/>
  </r>
  <r>
    <x v="4"/>
  </r>
  <r>
    <x v="4"/>
  </r>
  <r>
    <x v="0"/>
  </r>
  <r>
    <x v="2"/>
  </r>
  <r>
    <x v="2"/>
  </r>
  <r>
    <x v="0"/>
  </r>
  <r>
    <x v="5"/>
  </r>
  <r>
    <x v="1"/>
  </r>
  <r>
    <x v="5"/>
  </r>
  <r>
    <x v="2"/>
  </r>
  <r>
    <x v="1"/>
  </r>
  <r>
    <x v="2"/>
  </r>
  <r>
    <x v="6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Zaokretna tablica7" cacheId="1" applyNumberFormats="0" applyBorderFormats="0" applyFontFormats="0" applyPatternFormats="0" applyAlignmentFormats="0" applyWidthHeightFormats="1" dataCaption="Vrijednosti" updatedVersion="6" minRefreshableVersion="3" useAutoFormatting="1" itemPrintTitles="1" createdVersion="6" indent="0" outline="1" outlineData="1" multipleFieldFilters="0" chartFormat="1">
  <location ref="AF2:AG10" firstHeaderRow="1" firstDataRow="1" firstDataCol="1"/>
  <pivotFields count="1">
    <pivotField axis="axisRow" dataField="1" showAll="0">
      <items count="8">
        <item x="2"/>
        <item x="0"/>
        <item x="1"/>
        <item x="4"/>
        <item x="6"/>
        <item x="5"/>
        <item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Broj od Otkucaji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Zaokretna tablica4" cacheId="0" applyNumberFormats="0" applyBorderFormats="0" applyFontFormats="0" applyPatternFormats="0" applyAlignmentFormats="0" applyWidthHeightFormats="1" dataCaption="Vrijednosti" updatedVersion="6" minRefreshableVersion="3" useAutoFormatting="1" itemPrintTitles="1" createdVersion="6" indent="0" compact="0" compactData="0" gridDropZones="1" multipleFieldFilters="0" chartFormat="1">
  <location ref="C3:D16" firstHeaderRow="2" firstDataRow="2" firstDataCol="1"/>
  <pivotFields count="1">
    <pivotField axis="axisRow" dataField="1" compact="0" outline="0" showAll="0">
      <items count="12">
        <item x="9"/>
        <item x="8"/>
        <item x="1"/>
        <item x="6"/>
        <item x="0"/>
        <item x="2"/>
        <item x="3"/>
        <item x="7"/>
        <item x="4"/>
        <item x="10"/>
        <item x="5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Broj od Otkucaji" fld="0" subtotal="count" baseField="0" baseItem="2"/>
  </dataFields>
  <chartFormats count="2">
    <chartFormat chart="0" format="2" series="1">
      <pivotArea type="data" outline="0" fieldPosition="0"/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X103" totalsRowShown="0">
  <autoFilter ref="A1:AX103" xr:uid="{00000000-0009-0000-0100-000001000000}"/>
  <tableColumns count="50">
    <tableColumn id="1" xr3:uid="{00000000-0010-0000-0000-000001000000}" name="Date"/>
    <tableColumn id="2" xr3:uid="{00000000-0010-0000-0000-000002000000}" name="Start_Time"/>
    <tableColumn id="3" xr3:uid="{00000000-0010-0000-0000-000003000000}" name="Event_Type"/>
    <tableColumn id="4" xr3:uid="{00000000-0010-0000-0000-000004000000}" name="Duration_Seconds"/>
    <tableColumn id="5" xr3:uid="{00000000-0010-0000-0000-000005000000}" name="Seconds_Paused"/>
    <tableColumn id="6" xr3:uid="{00000000-0010-0000-0000-000006000000}" name="Calories_Burned"/>
    <tableColumn id="7" xr3:uid="{00000000-0010-0000-0000-000007000000}" name="Calories_Burned_Carbs"/>
    <tableColumn id="8" xr3:uid="{00000000-0010-0000-0000-000008000000}" name="Calories_Burned_Fats"/>
    <tableColumn id="9" xr3:uid="{00000000-0010-0000-0000-000009000000}" name="HR_Lowest"/>
    <tableColumn id="10" xr3:uid="{00000000-0010-0000-0000-00000A000000}" name="HR_Peak"/>
    <tableColumn id="11" xr3:uid="{00000000-0010-0000-0000-00000B000000}" name="HR_Average"/>
    <tableColumn id="12" xr3:uid="{00000000-0010-0000-0000-00000C000000}" name="UV_Exposure_Minutes"/>
    <tableColumn id="13" xr3:uid="{00000000-0010-0000-0000-00000D000000}" name="Total_Miles_Moved"/>
    <tableColumn id="14" xr3:uid="{00000000-0010-0000-0000-00000E000000}" name="Cardio_Benefit"/>
    <tableColumn id="15" xr3:uid="{00000000-0010-0000-0000-00000F000000}" name="Minutes_Under_50%_HR"/>
    <tableColumn id="16" xr3:uid="{00000000-0010-0000-0000-000010000000}" name="Minutes_In_HRZ_Very_Light_50%_60%"/>
    <tableColumn id="17" xr3:uid="{00000000-0010-0000-0000-000011000000}" name="Minutes_In_HRZ_Light_60%_70%"/>
    <tableColumn id="18" xr3:uid="{00000000-0010-0000-0000-000012000000}" name="Minutes_In_HRZ_Moderate_70%_80%"/>
    <tableColumn id="19" xr3:uid="{00000000-0010-0000-0000-000013000000}" name="Minutes_In_HRZ_Hard_80%_90%"/>
    <tableColumn id="20" xr3:uid="{00000000-0010-0000-0000-000014000000}" name="Minutes_In_HRZ_Very_Hard_90%_Plus"/>
    <tableColumn id="21" xr3:uid="{00000000-0010-0000-0000-000015000000}" name="HR_Finish"/>
    <tableColumn id="22" xr3:uid="{00000000-0010-0000-0000-000016000000}" name="HR_Recovery_Rate_1_Min"/>
    <tableColumn id="23" xr3:uid="{00000000-0010-0000-0000-000017000000}" name="HR_Recovery_Rate_2_Min"/>
    <tableColumn id="24" xr3:uid="{00000000-0010-0000-0000-000018000000}" name="Recovery_Time_Seconds"/>
    <tableColumn id="25" xr3:uid="{00000000-0010-0000-0000-000019000000}" name="Bike_Average_MPH"/>
    <tableColumn id="26" xr3:uid="{00000000-0010-0000-0000-00001A000000}" name="Bike_Max_MPH"/>
    <tableColumn id="27" xr3:uid="{00000000-0010-0000-0000-00001B000000}" name="Elevation_Highest_Feet"/>
    <tableColumn id="28" xr3:uid="{00000000-0010-0000-0000-00001C000000}" name="Elevation_Lowest_Feet"/>
    <tableColumn id="29" xr3:uid="{00000000-0010-0000-0000-00001D000000}" name="Elevation_Gain_Feet"/>
    <tableColumn id="30" xr3:uid="{00000000-0010-0000-0000-00001E000000}" name="Elevation_Loss_Feet"/>
    <tableColumn id="31" xr3:uid="{00000000-0010-0000-0000-00001F000000}" name="Wake_Up_Time"/>
    <tableColumn id="32" xr3:uid="{00000000-0010-0000-0000-000020000000}" name="Seconds_Awake"/>
    <tableColumn id="33" xr3:uid="{00000000-0010-0000-0000-000021000000}" name="Seconds_Asleep_Total"/>
    <tableColumn id="34" xr3:uid="{00000000-0010-0000-0000-000022000000}" name="Seconds_Asleep_Restful"/>
    <tableColumn id="35" xr3:uid="{00000000-0010-0000-0000-000023000000}" name="Seconds_Asleep_Light"/>
    <tableColumn id="36" xr3:uid="{00000000-0010-0000-0000-000024000000}" name="Wake_Ups"/>
    <tableColumn id="37" xr3:uid="{00000000-0010-0000-0000-000025000000}" name="Seconds_to_Fall_Asleep"/>
    <tableColumn id="38" xr3:uid="{00000000-0010-0000-0000-000026000000}" name="Sleep_Efficiency"/>
    <tableColumn id="39" xr3:uid="{00000000-0010-0000-0000-000027000000}" name="Sleep_Restoration"/>
    <tableColumn id="40" xr3:uid="{00000000-0010-0000-0000-000028000000}" name="Sleep_HR_Resting"/>
    <tableColumn id="41" xr3:uid="{00000000-0010-0000-0000-000029000000}" name="Sleep_Auto_Detect"/>
    <tableColumn id="42" xr3:uid="{00000000-0010-0000-0000-00002A000000}" name="GW_Plan_Name"/>
    <tableColumn id="43" xr3:uid="{00000000-0010-0000-0000-00002B000000}" name="GW_Reps_Performed"/>
    <tableColumn id="44" xr3:uid="{00000000-0010-0000-0000-00002C000000}" name="GW_Rounds_Performed"/>
    <tableColumn id="45" xr3:uid="{00000000-0010-0000-0000-00002D000000}" name="Golf_Course_Name"/>
    <tableColumn id="46" xr3:uid="{00000000-0010-0000-0000-00002E000000}" name="Golf_Course_Par"/>
    <tableColumn id="47" xr3:uid="{00000000-0010-0000-0000-00002F000000}" name="Golf_Total_Score"/>
    <tableColumn id="48" xr3:uid="{00000000-0010-0000-0000-000030000000}" name="Golf_Par_or_Better"/>
    <tableColumn id="49" xr3:uid="{00000000-0010-0000-0000-000031000000}" name="Golf_Pace_of_Play_Minutes"/>
    <tableColumn id="50" xr3:uid="{00000000-0010-0000-0000-000032000000}" name="Golf_Longest_Drive_Yard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ica6" displayName="Tablica6" ref="A1:A101" totalsRowShown="0" dataDxfId="12" tableBorderDxfId="11">
  <autoFilter ref="A1:A101" xr:uid="{00000000-0009-0000-0100-000006000000}"/>
  <tableColumns count="1">
    <tableColumn id="1" xr3:uid="{00000000-0010-0000-0100-000001000000}" name="Otkucaji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ica3" displayName="Tablica3" ref="A1:A101" totalsRowShown="0" dataDxfId="9" tableBorderDxfId="8">
  <autoFilter ref="A1:A101" xr:uid="{00000000-0009-0000-0100-000003000000}"/>
  <tableColumns count="1">
    <tableColumn id="1" xr3:uid="{00000000-0010-0000-0200-000001000000}" name="Otkucaji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ica4" displayName="Tablica4" ref="V1:V31" totalsRowShown="0" dataDxfId="6" tableBorderDxfId="5">
  <autoFilter ref="V1:V31" xr:uid="{00000000-0009-0000-0100-000004000000}"/>
  <tableColumns count="1">
    <tableColumn id="1" xr3:uid="{00000000-0010-0000-0300-000001000000}" name="Uzorak" dataDxfId="4">
      <calculatedColumnFormula>INDEX($A:$A,W2,1)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ica5" displayName="Tablica5" ref="AC2:AC32" totalsRowShown="0" headerRowDxfId="3" dataDxfId="2" tableBorderDxfId="1">
  <autoFilter ref="AC2:AC32" xr:uid="{00000000-0009-0000-0100-000005000000}"/>
  <tableColumns count="1">
    <tableColumn id="1" xr3:uid="{00000000-0010-0000-0400-000001000000}" name="Otkucaj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3"/>
  <sheetViews>
    <sheetView workbookViewId="0">
      <pane xSplit="1" ySplit="1" topLeftCell="D71" activePane="bottomRight" state="frozenSplit"/>
      <selection pane="topRight"/>
      <selection pane="bottomLeft"/>
      <selection pane="bottomRight" activeCell="I4" sqref="I4:I103"/>
    </sheetView>
  </sheetViews>
  <sheetFormatPr defaultRowHeight="15" x14ac:dyDescent="0.25"/>
  <cols>
    <col min="1" max="1" width="13.42578125" customWidth="1"/>
    <col min="2" max="2" width="18.5703125" style="1" customWidth="1"/>
    <col min="3" max="3" width="14.28515625" customWidth="1"/>
    <col min="4" max="4" width="19.85546875" customWidth="1"/>
    <col min="5" max="5" width="18.5703125" customWidth="1"/>
    <col min="6" max="6" width="18.42578125" customWidth="1"/>
    <col min="7" max="7" width="24.140625" customWidth="1"/>
    <col min="8" max="8" width="22.85546875" customWidth="1"/>
    <col min="9" max="9" width="13.85546875" customWidth="1"/>
    <col min="10" max="10" width="11.85546875" customWidth="1"/>
    <col min="11" max="11" width="14.85546875" customWidth="1"/>
    <col min="12" max="12" width="23.85546875" customWidth="1"/>
    <col min="13" max="13" width="21.42578125" customWidth="1"/>
    <col min="14" max="14" width="17.140625" customWidth="1"/>
    <col min="15" max="15" width="25.85546875" customWidth="1"/>
    <col min="16" max="16" width="38" customWidth="1"/>
    <col min="17" max="17" width="33" customWidth="1"/>
    <col min="18" max="18" width="37.42578125" customWidth="1"/>
    <col min="19" max="19" width="33" customWidth="1"/>
    <col min="20" max="20" width="37.85546875" customWidth="1"/>
    <col min="21" max="21" width="12.7109375" customWidth="1"/>
    <col min="22" max="23" width="27.140625" customWidth="1"/>
    <col min="24" max="24" width="25.42578125" customWidth="1"/>
    <col min="25" max="25" width="21.140625" customWidth="1"/>
    <col min="26" max="26" width="17.85546875" customWidth="1"/>
    <col min="27" max="27" width="24.42578125" customWidth="1"/>
    <col min="28" max="28" width="24.140625" customWidth="1"/>
    <col min="29" max="29" width="22" customWidth="1"/>
    <col min="30" max="30" width="21.7109375" customWidth="1"/>
    <col min="31" max="31" width="17.85546875" customWidth="1"/>
    <col min="32" max="32" width="18.140625" customWidth="1"/>
    <col min="33" max="33" width="23.42578125" customWidth="1"/>
    <col min="34" max="34" width="25.140625" customWidth="1"/>
    <col min="35" max="35" width="23.28515625" customWidth="1"/>
    <col min="36" max="36" width="13.5703125" customWidth="1"/>
    <col min="37" max="37" width="24.85546875" customWidth="1"/>
    <col min="38" max="38" width="18.140625" customWidth="1"/>
    <col min="39" max="39" width="19.85546875" customWidth="1"/>
    <col min="40" max="40" width="19.7109375" customWidth="1"/>
    <col min="41" max="41" width="20.85546875" customWidth="1"/>
    <col min="42" max="42" width="18.42578125" customWidth="1"/>
    <col min="43" max="43" width="22.85546875" customWidth="1"/>
    <col min="44" max="44" width="25.140625" customWidth="1"/>
    <col min="45" max="45" width="21" customWidth="1"/>
    <col min="46" max="46" width="18.7109375" customWidth="1"/>
    <col min="47" max="47" width="19" customWidth="1"/>
    <col min="48" max="48" width="21" customWidth="1"/>
    <col min="49" max="49" width="28.42578125" customWidth="1"/>
    <col min="50" max="50" width="26.85546875" customWidth="1"/>
  </cols>
  <sheetData>
    <row r="1" spans="1:5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s="2">
        <v>42370</v>
      </c>
      <c r="B2" s="1">
        <v>42370.910068773097</v>
      </c>
      <c r="C2" t="s">
        <v>50</v>
      </c>
      <c r="D2">
        <v>31659</v>
      </c>
      <c r="E2">
        <v>0</v>
      </c>
      <c r="F2">
        <v>671</v>
      </c>
      <c r="I2">
        <v>43</v>
      </c>
      <c r="J2">
        <v>80</v>
      </c>
      <c r="K2">
        <v>53</v>
      </c>
      <c r="L2">
        <v>0</v>
      </c>
      <c r="AE2" s="3">
        <v>42371.274763900503</v>
      </c>
      <c r="AF2">
        <v>5840</v>
      </c>
      <c r="AG2">
        <v>25818</v>
      </c>
      <c r="AH2">
        <v>5150</v>
      </c>
      <c r="AI2">
        <v>20668</v>
      </c>
      <c r="AJ2">
        <v>13</v>
      </c>
      <c r="AK2">
        <v>628</v>
      </c>
      <c r="AL2">
        <v>83</v>
      </c>
      <c r="AM2" t="s">
        <v>51</v>
      </c>
      <c r="AN2">
        <v>46</v>
      </c>
      <c r="AO2" t="s">
        <v>52</v>
      </c>
    </row>
    <row r="3" spans="1:50" x14ac:dyDescent="0.25">
      <c r="A3" s="2">
        <v>42370</v>
      </c>
      <c r="B3" s="1">
        <v>42370.053651863404</v>
      </c>
      <c r="C3" t="s">
        <v>50</v>
      </c>
      <c r="D3">
        <v>19985</v>
      </c>
      <c r="E3">
        <v>0</v>
      </c>
      <c r="F3">
        <v>426</v>
      </c>
      <c r="I3">
        <v>46</v>
      </c>
      <c r="J3">
        <v>81</v>
      </c>
      <c r="K3">
        <v>56</v>
      </c>
      <c r="L3">
        <v>0</v>
      </c>
      <c r="AE3" s="3">
        <v>42370.263461666698</v>
      </c>
      <c r="AF3">
        <v>4524</v>
      </c>
      <c r="AG3">
        <v>15460</v>
      </c>
      <c r="AH3">
        <v>0</v>
      </c>
      <c r="AI3">
        <v>15460</v>
      </c>
      <c r="AJ3">
        <v>5</v>
      </c>
      <c r="AK3">
        <v>419</v>
      </c>
      <c r="AL3">
        <v>87</v>
      </c>
      <c r="AM3" t="s">
        <v>53</v>
      </c>
      <c r="AN3">
        <v>49</v>
      </c>
      <c r="AO3" t="s">
        <v>52</v>
      </c>
    </row>
    <row r="4" spans="1:50" x14ac:dyDescent="0.25">
      <c r="A4" s="2">
        <v>42371</v>
      </c>
      <c r="B4" s="1">
        <v>42371.952652187501</v>
      </c>
      <c r="C4" t="s">
        <v>50</v>
      </c>
      <c r="D4">
        <v>27755</v>
      </c>
      <c r="E4">
        <v>0</v>
      </c>
      <c r="F4">
        <v>579</v>
      </c>
      <c r="I4">
        <v>40</v>
      </c>
      <c r="J4">
        <v>80</v>
      </c>
      <c r="K4">
        <v>51</v>
      </c>
      <c r="L4">
        <v>0</v>
      </c>
      <c r="AE4" s="3">
        <v>42372.260733217598</v>
      </c>
      <c r="AF4">
        <v>3593</v>
      </c>
      <c r="AG4">
        <v>24162</v>
      </c>
      <c r="AH4">
        <v>5537</v>
      </c>
      <c r="AI4">
        <v>18625</v>
      </c>
      <c r="AJ4">
        <v>5</v>
      </c>
      <c r="AK4">
        <v>419</v>
      </c>
      <c r="AL4">
        <v>92</v>
      </c>
      <c r="AM4" t="s">
        <v>51</v>
      </c>
      <c r="AN4">
        <v>45</v>
      </c>
      <c r="AO4" t="s">
        <v>52</v>
      </c>
    </row>
    <row r="5" spans="1:50" x14ac:dyDescent="0.25">
      <c r="A5" s="2">
        <v>42372</v>
      </c>
      <c r="B5" s="1">
        <v>42372.941730046303</v>
      </c>
      <c r="C5" t="s">
        <v>50</v>
      </c>
      <c r="D5">
        <v>25181</v>
      </c>
      <c r="E5">
        <v>0</v>
      </c>
      <c r="F5">
        <v>523</v>
      </c>
      <c r="I5">
        <v>41</v>
      </c>
      <c r="J5">
        <v>79</v>
      </c>
      <c r="K5">
        <v>49</v>
      </c>
      <c r="L5">
        <v>0</v>
      </c>
      <c r="AE5" s="3">
        <v>42373.226601435199</v>
      </c>
      <c r="AF5">
        <v>2515</v>
      </c>
      <c r="AG5">
        <v>22666</v>
      </c>
      <c r="AH5">
        <v>2454</v>
      </c>
      <c r="AI5">
        <v>20212</v>
      </c>
      <c r="AJ5">
        <v>3</v>
      </c>
      <c r="AK5">
        <v>658</v>
      </c>
      <c r="AL5">
        <v>94</v>
      </c>
      <c r="AM5" t="s">
        <v>51</v>
      </c>
      <c r="AN5">
        <v>43</v>
      </c>
      <c r="AO5" t="s">
        <v>52</v>
      </c>
    </row>
    <row r="6" spans="1:50" x14ac:dyDescent="0.25">
      <c r="A6" s="2">
        <v>42374</v>
      </c>
      <c r="B6" s="1">
        <v>42374.915314178201</v>
      </c>
      <c r="C6" t="s">
        <v>50</v>
      </c>
      <c r="D6">
        <v>25878</v>
      </c>
      <c r="E6">
        <v>0</v>
      </c>
      <c r="F6">
        <v>546</v>
      </c>
      <c r="I6">
        <v>40</v>
      </c>
      <c r="J6">
        <v>82</v>
      </c>
      <c r="K6">
        <v>52</v>
      </c>
      <c r="L6">
        <v>0</v>
      </c>
      <c r="AE6" s="3">
        <v>42375.205818240698</v>
      </c>
      <c r="AF6">
        <v>2456</v>
      </c>
      <c r="AG6">
        <v>23422</v>
      </c>
      <c r="AH6">
        <v>6557</v>
      </c>
      <c r="AI6">
        <v>16865</v>
      </c>
      <c r="AJ6">
        <v>4</v>
      </c>
      <c r="AK6">
        <v>599</v>
      </c>
      <c r="AL6">
        <v>95</v>
      </c>
      <c r="AM6" t="s">
        <v>51</v>
      </c>
      <c r="AN6">
        <v>44</v>
      </c>
      <c r="AO6" t="s">
        <v>52</v>
      </c>
    </row>
    <row r="7" spans="1:50" x14ac:dyDescent="0.25">
      <c r="A7" s="2">
        <v>42375</v>
      </c>
      <c r="B7" s="1">
        <v>42375.944314930603</v>
      </c>
      <c r="C7" t="s">
        <v>50</v>
      </c>
      <c r="D7">
        <v>26475</v>
      </c>
      <c r="E7">
        <v>0</v>
      </c>
      <c r="F7">
        <v>559</v>
      </c>
      <c r="I7">
        <v>43</v>
      </c>
      <c r="J7">
        <v>87</v>
      </c>
      <c r="K7">
        <v>53</v>
      </c>
      <c r="L7">
        <v>0</v>
      </c>
      <c r="AE7" s="3">
        <v>42376.249007905099</v>
      </c>
      <c r="AF7">
        <v>7187</v>
      </c>
      <c r="AG7">
        <v>19287</v>
      </c>
      <c r="AH7">
        <v>5449</v>
      </c>
      <c r="AI7">
        <v>13838</v>
      </c>
      <c r="AJ7">
        <v>6</v>
      </c>
      <c r="AK7">
        <v>1227</v>
      </c>
      <c r="AL7">
        <v>76</v>
      </c>
      <c r="AM7" t="s">
        <v>51</v>
      </c>
      <c r="AN7">
        <v>47</v>
      </c>
      <c r="AO7" t="s">
        <v>52</v>
      </c>
    </row>
    <row r="8" spans="1:50" x14ac:dyDescent="0.25">
      <c r="A8" s="2">
        <v>42376</v>
      </c>
      <c r="B8" s="1">
        <v>42376.926761701397</v>
      </c>
      <c r="C8" t="s">
        <v>50</v>
      </c>
      <c r="D8">
        <v>26404</v>
      </c>
      <c r="E8">
        <v>0</v>
      </c>
      <c r="F8">
        <v>552</v>
      </c>
      <c r="I8">
        <v>44</v>
      </c>
      <c r="J8">
        <v>83</v>
      </c>
      <c r="K8">
        <v>52</v>
      </c>
      <c r="L8">
        <v>0</v>
      </c>
      <c r="AE8" s="3">
        <v>42377.230632210601</v>
      </c>
      <c r="AF8">
        <v>1796</v>
      </c>
      <c r="AG8">
        <v>24607</v>
      </c>
      <c r="AH8">
        <v>4729</v>
      </c>
      <c r="AI8">
        <v>19878</v>
      </c>
      <c r="AJ8">
        <v>4</v>
      </c>
      <c r="AK8">
        <v>508</v>
      </c>
      <c r="AL8">
        <v>95</v>
      </c>
      <c r="AM8" t="s">
        <v>51</v>
      </c>
      <c r="AN8">
        <v>46</v>
      </c>
      <c r="AO8" t="s">
        <v>52</v>
      </c>
    </row>
    <row r="9" spans="1:50" x14ac:dyDescent="0.25">
      <c r="A9" s="2">
        <v>42377</v>
      </c>
      <c r="B9" s="1">
        <v>42377.9581380093</v>
      </c>
      <c r="C9" t="s">
        <v>50</v>
      </c>
      <c r="D9">
        <v>24662</v>
      </c>
      <c r="E9">
        <v>0</v>
      </c>
      <c r="F9">
        <v>508</v>
      </c>
      <c r="I9">
        <v>43</v>
      </c>
      <c r="J9">
        <v>84</v>
      </c>
      <c r="K9">
        <v>51</v>
      </c>
      <c r="L9">
        <v>0</v>
      </c>
      <c r="AE9" s="3">
        <v>42378.238731817102</v>
      </c>
      <c r="AF9">
        <v>1648</v>
      </c>
      <c r="AG9">
        <v>23014</v>
      </c>
      <c r="AH9">
        <v>4913</v>
      </c>
      <c r="AI9">
        <v>18101</v>
      </c>
      <c r="AJ9">
        <v>5</v>
      </c>
      <c r="AK9">
        <v>599</v>
      </c>
      <c r="AL9">
        <v>97</v>
      </c>
      <c r="AM9" t="s">
        <v>51</v>
      </c>
      <c r="AN9">
        <v>45</v>
      </c>
      <c r="AO9" t="s">
        <v>52</v>
      </c>
    </row>
    <row r="10" spans="1:50" x14ac:dyDescent="0.25">
      <c r="A10" s="2">
        <v>42378</v>
      </c>
      <c r="B10" s="1">
        <v>42378.975975277797</v>
      </c>
      <c r="C10" t="s">
        <v>50</v>
      </c>
      <c r="D10">
        <v>23767</v>
      </c>
      <c r="E10">
        <v>0</v>
      </c>
      <c r="F10">
        <v>494</v>
      </c>
      <c r="I10">
        <v>44</v>
      </c>
      <c r="J10">
        <v>100</v>
      </c>
      <c r="K10">
        <v>55</v>
      </c>
      <c r="L10">
        <v>0</v>
      </c>
      <c r="AE10" s="3">
        <v>42379.241692094904</v>
      </c>
      <c r="AF10">
        <v>2487</v>
      </c>
      <c r="AG10">
        <v>21279</v>
      </c>
      <c r="AH10">
        <v>4854</v>
      </c>
      <c r="AI10">
        <v>16425</v>
      </c>
      <c r="AJ10">
        <v>5</v>
      </c>
      <c r="AK10">
        <v>479</v>
      </c>
      <c r="AL10">
        <v>94</v>
      </c>
      <c r="AM10" t="s">
        <v>53</v>
      </c>
      <c r="AN10">
        <v>49</v>
      </c>
      <c r="AO10" t="s">
        <v>52</v>
      </c>
    </row>
    <row r="11" spans="1:50" x14ac:dyDescent="0.25">
      <c r="A11" s="2">
        <v>42379</v>
      </c>
      <c r="B11" s="1">
        <v>42379.937305798601</v>
      </c>
      <c r="C11" t="s">
        <v>50</v>
      </c>
      <c r="D11">
        <v>25413</v>
      </c>
      <c r="E11">
        <v>0</v>
      </c>
      <c r="F11">
        <v>515</v>
      </c>
      <c r="I11">
        <v>43</v>
      </c>
      <c r="J11">
        <v>84</v>
      </c>
      <c r="K11">
        <v>52</v>
      </c>
      <c r="L11">
        <v>0</v>
      </c>
      <c r="AE11" s="3">
        <v>42380.229708715298</v>
      </c>
      <c r="AF11">
        <v>2517</v>
      </c>
      <c r="AG11">
        <v>22896</v>
      </c>
      <c r="AH11">
        <v>6382</v>
      </c>
      <c r="AI11">
        <v>16514</v>
      </c>
      <c r="AJ11">
        <v>7</v>
      </c>
      <c r="AK11">
        <v>539</v>
      </c>
      <c r="AL11">
        <v>92</v>
      </c>
      <c r="AM11" t="s">
        <v>51</v>
      </c>
      <c r="AN11">
        <v>46</v>
      </c>
      <c r="AO11" t="s">
        <v>52</v>
      </c>
    </row>
    <row r="12" spans="1:50" x14ac:dyDescent="0.25">
      <c r="A12" s="2">
        <v>42380</v>
      </c>
      <c r="B12" s="1">
        <v>42380.923785856503</v>
      </c>
      <c r="C12" t="s">
        <v>50</v>
      </c>
      <c r="D12">
        <v>25218</v>
      </c>
      <c r="E12">
        <v>0</v>
      </c>
      <c r="F12">
        <v>516</v>
      </c>
      <c r="I12">
        <v>43</v>
      </c>
      <c r="J12">
        <v>78</v>
      </c>
      <c r="K12">
        <v>52</v>
      </c>
      <c r="L12">
        <v>0</v>
      </c>
      <c r="AE12" s="3">
        <v>42381.213936817097</v>
      </c>
      <c r="AF12">
        <v>2638</v>
      </c>
      <c r="AG12">
        <v>22580</v>
      </c>
      <c r="AH12">
        <v>4976</v>
      </c>
      <c r="AI12">
        <v>17604</v>
      </c>
      <c r="AJ12">
        <v>3</v>
      </c>
      <c r="AK12">
        <v>1079</v>
      </c>
      <c r="AL12">
        <v>94</v>
      </c>
      <c r="AM12" t="s">
        <v>51</v>
      </c>
      <c r="AN12">
        <v>45</v>
      </c>
      <c r="AO12" t="s">
        <v>52</v>
      </c>
    </row>
    <row r="13" spans="1:50" x14ac:dyDescent="0.25">
      <c r="A13" s="2">
        <v>42381</v>
      </c>
      <c r="B13" s="1">
        <v>42381.970994756899</v>
      </c>
      <c r="C13" t="s">
        <v>50</v>
      </c>
      <c r="D13">
        <v>24733</v>
      </c>
      <c r="E13">
        <v>0</v>
      </c>
      <c r="F13">
        <v>536</v>
      </c>
      <c r="I13">
        <v>43</v>
      </c>
      <c r="J13">
        <v>115</v>
      </c>
      <c r="K13">
        <v>57</v>
      </c>
      <c r="L13">
        <v>0</v>
      </c>
      <c r="AE13" s="3">
        <v>42382.255525312503</v>
      </c>
      <c r="AF13">
        <v>4641</v>
      </c>
      <c r="AG13">
        <v>20091</v>
      </c>
      <c r="AH13">
        <v>2754</v>
      </c>
      <c r="AI13">
        <v>17337</v>
      </c>
      <c r="AJ13">
        <v>8</v>
      </c>
      <c r="AK13">
        <v>1557</v>
      </c>
      <c r="AL13">
        <v>87</v>
      </c>
      <c r="AM13" t="s">
        <v>53</v>
      </c>
      <c r="AN13">
        <v>47</v>
      </c>
      <c r="AO13" t="s">
        <v>52</v>
      </c>
    </row>
    <row r="14" spans="1:50" x14ac:dyDescent="0.25">
      <c r="A14" s="2">
        <v>42382</v>
      </c>
      <c r="B14" s="1">
        <v>42382.973297395802</v>
      </c>
      <c r="C14" t="s">
        <v>50</v>
      </c>
      <c r="D14">
        <v>24791</v>
      </c>
      <c r="E14">
        <v>0</v>
      </c>
      <c r="F14">
        <v>516</v>
      </c>
      <c r="I14">
        <v>40</v>
      </c>
      <c r="J14">
        <v>80</v>
      </c>
      <c r="K14">
        <v>50</v>
      </c>
      <c r="L14">
        <v>0</v>
      </c>
      <c r="AE14" s="3">
        <v>42383.252955289398</v>
      </c>
      <c r="AF14">
        <v>3147</v>
      </c>
      <c r="AG14">
        <v>21644</v>
      </c>
      <c r="AH14">
        <v>3686</v>
      </c>
      <c r="AI14">
        <v>17958</v>
      </c>
      <c r="AJ14">
        <v>7</v>
      </c>
      <c r="AK14">
        <v>749</v>
      </c>
      <c r="AL14">
        <v>92</v>
      </c>
      <c r="AM14" t="s">
        <v>51</v>
      </c>
      <c r="AN14">
        <v>44</v>
      </c>
      <c r="AO14" t="s">
        <v>52</v>
      </c>
    </row>
    <row r="15" spans="1:50" x14ac:dyDescent="0.25">
      <c r="A15" s="2">
        <v>42383</v>
      </c>
      <c r="B15" s="1">
        <v>42383.909024722198</v>
      </c>
      <c r="C15" t="s">
        <v>50</v>
      </c>
      <c r="D15">
        <v>28547</v>
      </c>
      <c r="E15">
        <v>0</v>
      </c>
      <c r="F15">
        <v>602</v>
      </c>
      <c r="I15">
        <v>42</v>
      </c>
      <c r="J15">
        <v>111</v>
      </c>
      <c r="K15">
        <v>54</v>
      </c>
      <c r="L15">
        <v>0</v>
      </c>
      <c r="AE15" s="3">
        <v>42384.237697002303</v>
      </c>
      <c r="AF15">
        <v>4613</v>
      </c>
      <c r="AG15">
        <v>23933</v>
      </c>
      <c r="AH15">
        <v>6049</v>
      </c>
      <c r="AI15">
        <v>17884</v>
      </c>
      <c r="AJ15">
        <v>10</v>
      </c>
      <c r="AK15">
        <v>659</v>
      </c>
      <c r="AL15">
        <v>86</v>
      </c>
      <c r="AM15" t="s">
        <v>51</v>
      </c>
      <c r="AN15">
        <v>45</v>
      </c>
      <c r="AO15" t="s">
        <v>52</v>
      </c>
    </row>
    <row r="16" spans="1:50" x14ac:dyDescent="0.25">
      <c r="A16" s="2">
        <v>42384</v>
      </c>
      <c r="B16" s="1">
        <v>42384.9494247685</v>
      </c>
      <c r="C16" t="s">
        <v>50</v>
      </c>
      <c r="D16">
        <v>26742</v>
      </c>
      <c r="E16">
        <v>0</v>
      </c>
      <c r="F16">
        <v>558</v>
      </c>
      <c r="I16">
        <v>40</v>
      </c>
      <c r="J16">
        <v>94</v>
      </c>
      <c r="K16">
        <v>50</v>
      </c>
      <c r="L16">
        <v>0</v>
      </c>
      <c r="AE16" s="3">
        <v>42385.257210868098</v>
      </c>
      <c r="AF16">
        <v>3147</v>
      </c>
      <c r="AG16">
        <v>23594</v>
      </c>
      <c r="AH16">
        <v>6084</v>
      </c>
      <c r="AI16">
        <v>17510</v>
      </c>
      <c r="AJ16">
        <v>4</v>
      </c>
      <c r="AK16">
        <v>509</v>
      </c>
      <c r="AL16">
        <v>90</v>
      </c>
      <c r="AM16" t="s">
        <v>51</v>
      </c>
      <c r="AN16">
        <v>43</v>
      </c>
      <c r="AO16" t="s">
        <v>52</v>
      </c>
    </row>
    <row r="17" spans="1:41" x14ac:dyDescent="0.25">
      <c r="A17" s="2">
        <v>42384</v>
      </c>
      <c r="B17" s="1">
        <v>42384.941479212997</v>
      </c>
      <c r="C17" t="s">
        <v>50</v>
      </c>
      <c r="D17">
        <v>678</v>
      </c>
      <c r="E17">
        <v>0</v>
      </c>
      <c r="F17">
        <v>14</v>
      </c>
      <c r="I17">
        <v>45</v>
      </c>
      <c r="J17">
        <v>70</v>
      </c>
      <c r="K17">
        <v>54</v>
      </c>
      <c r="L17">
        <v>0</v>
      </c>
      <c r="AF17">
        <v>678</v>
      </c>
      <c r="AG17">
        <v>0</v>
      </c>
      <c r="AH17">
        <v>0</v>
      </c>
      <c r="AI17">
        <v>0</v>
      </c>
      <c r="AJ17">
        <v>0</v>
      </c>
      <c r="AK17">
        <v>678</v>
      </c>
      <c r="AL17">
        <v>0</v>
      </c>
      <c r="AO17" t="s">
        <v>52</v>
      </c>
    </row>
    <row r="18" spans="1:41" x14ac:dyDescent="0.25">
      <c r="A18" s="2">
        <v>42385</v>
      </c>
      <c r="B18" s="1">
        <v>42385.9407991435</v>
      </c>
      <c r="C18" t="s">
        <v>50</v>
      </c>
      <c r="D18">
        <v>29061</v>
      </c>
      <c r="E18">
        <v>0</v>
      </c>
      <c r="F18">
        <v>607</v>
      </c>
      <c r="I18">
        <v>40</v>
      </c>
      <c r="J18">
        <v>76</v>
      </c>
      <c r="K18">
        <v>51</v>
      </c>
      <c r="L18">
        <v>0</v>
      </c>
      <c r="AE18" s="3">
        <v>42386.275424756903</v>
      </c>
      <c r="AF18">
        <v>5063</v>
      </c>
      <c r="AG18">
        <v>23998</v>
      </c>
      <c r="AH18">
        <v>3175</v>
      </c>
      <c r="AI18">
        <v>20823</v>
      </c>
      <c r="AJ18">
        <v>8</v>
      </c>
      <c r="AK18">
        <v>599</v>
      </c>
      <c r="AL18">
        <v>84</v>
      </c>
      <c r="AM18" t="s">
        <v>51</v>
      </c>
      <c r="AN18">
        <v>44</v>
      </c>
      <c r="AO18" t="s">
        <v>52</v>
      </c>
    </row>
    <row r="19" spans="1:41" x14ac:dyDescent="0.25">
      <c r="A19" s="2">
        <v>42386</v>
      </c>
      <c r="B19" s="1">
        <v>42386.941568912</v>
      </c>
      <c r="C19" t="s">
        <v>50</v>
      </c>
      <c r="D19">
        <v>28473</v>
      </c>
      <c r="E19">
        <v>0</v>
      </c>
      <c r="F19">
        <v>591</v>
      </c>
      <c r="I19">
        <v>42</v>
      </c>
      <c r="J19">
        <v>76</v>
      </c>
      <c r="K19">
        <v>50</v>
      </c>
      <c r="L19">
        <v>0</v>
      </c>
      <c r="AE19" s="3">
        <v>42387.269390613401</v>
      </c>
      <c r="AF19">
        <v>5359</v>
      </c>
      <c r="AG19">
        <v>23114</v>
      </c>
      <c r="AH19">
        <v>2574</v>
      </c>
      <c r="AI19">
        <v>20540</v>
      </c>
      <c r="AJ19">
        <v>14</v>
      </c>
      <c r="AK19">
        <v>718</v>
      </c>
      <c r="AL19">
        <v>83</v>
      </c>
      <c r="AM19" t="s">
        <v>51</v>
      </c>
      <c r="AN19">
        <v>46</v>
      </c>
      <c r="AO19" t="s">
        <v>52</v>
      </c>
    </row>
    <row r="20" spans="1:41" x14ac:dyDescent="0.25">
      <c r="A20" s="2">
        <v>42387</v>
      </c>
      <c r="B20" s="1">
        <v>42387.8894257176</v>
      </c>
      <c r="C20" t="s">
        <v>50</v>
      </c>
      <c r="D20">
        <v>27724</v>
      </c>
      <c r="E20">
        <v>0</v>
      </c>
      <c r="F20">
        <v>582</v>
      </c>
      <c r="I20">
        <v>42</v>
      </c>
      <c r="J20">
        <v>88</v>
      </c>
      <c r="K20">
        <v>52</v>
      </c>
      <c r="L20">
        <v>0</v>
      </c>
      <c r="AE20" s="3">
        <v>42388.208577199097</v>
      </c>
      <c r="AF20">
        <v>5239</v>
      </c>
      <c r="AG20">
        <v>22484</v>
      </c>
      <c r="AH20">
        <v>5926</v>
      </c>
      <c r="AI20">
        <v>16558</v>
      </c>
      <c r="AJ20">
        <v>5</v>
      </c>
      <c r="AK20">
        <v>1077</v>
      </c>
      <c r="AL20">
        <v>84</v>
      </c>
      <c r="AM20" t="s">
        <v>51</v>
      </c>
      <c r="AN20">
        <v>45</v>
      </c>
      <c r="AO20" t="s">
        <v>52</v>
      </c>
    </row>
    <row r="21" spans="1:41" x14ac:dyDescent="0.25">
      <c r="A21" s="2">
        <v>42388</v>
      </c>
      <c r="B21" s="1">
        <v>42388.942099027801</v>
      </c>
      <c r="C21" t="s">
        <v>50</v>
      </c>
      <c r="D21">
        <v>25570</v>
      </c>
      <c r="E21">
        <v>0</v>
      </c>
      <c r="F21">
        <v>540</v>
      </c>
      <c r="I21">
        <v>42</v>
      </c>
      <c r="J21">
        <v>92</v>
      </c>
      <c r="K21">
        <v>52</v>
      </c>
      <c r="L21">
        <v>0</v>
      </c>
      <c r="AE21" s="3">
        <v>42389.228347974502</v>
      </c>
      <c r="AF21">
        <v>4281</v>
      </c>
      <c r="AG21">
        <v>21288</v>
      </c>
      <c r="AH21">
        <v>5388</v>
      </c>
      <c r="AI21">
        <v>15900</v>
      </c>
      <c r="AJ21">
        <v>6</v>
      </c>
      <c r="AK21">
        <v>598</v>
      </c>
      <c r="AL21">
        <v>88</v>
      </c>
      <c r="AM21" t="s">
        <v>51</v>
      </c>
      <c r="AN21">
        <v>44</v>
      </c>
      <c r="AO21" t="s">
        <v>52</v>
      </c>
    </row>
    <row r="22" spans="1:41" x14ac:dyDescent="0.25">
      <c r="A22" s="2">
        <v>42389</v>
      </c>
      <c r="B22" s="1">
        <v>42389.915070115698</v>
      </c>
      <c r="C22" t="s">
        <v>50</v>
      </c>
      <c r="D22">
        <v>28873</v>
      </c>
      <c r="E22">
        <v>0</v>
      </c>
      <c r="F22">
        <v>593</v>
      </c>
      <c r="I22">
        <v>39</v>
      </c>
      <c r="J22">
        <v>75</v>
      </c>
      <c r="K22">
        <v>48</v>
      </c>
      <c r="L22">
        <v>0</v>
      </c>
      <c r="AE22" s="3">
        <v>42390.244059085599</v>
      </c>
      <c r="AF22">
        <v>5091</v>
      </c>
      <c r="AG22">
        <v>23782</v>
      </c>
      <c r="AH22">
        <v>10271</v>
      </c>
      <c r="AI22">
        <v>13511</v>
      </c>
      <c r="AJ22">
        <v>6</v>
      </c>
      <c r="AK22">
        <v>1407</v>
      </c>
      <c r="AL22">
        <v>87</v>
      </c>
      <c r="AM22" t="s">
        <v>51</v>
      </c>
      <c r="AN22">
        <v>42</v>
      </c>
      <c r="AO22" t="s">
        <v>52</v>
      </c>
    </row>
    <row r="23" spans="1:41" x14ac:dyDescent="0.25">
      <c r="A23" s="2">
        <v>42390</v>
      </c>
      <c r="B23" s="1">
        <v>42390.925200740698</v>
      </c>
      <c r="C23" t="s">
        <v>50</v>
      </c>
      <c r="D23">
        <v>27031</v>
      </c>
      <c r="E23">
        <v>0</v>
      </c>
      <c r="F23">
        <v>566</v>
      </c>
      <c r="I23">
        <v>41</v>
      </c>
      <c r="J23">
        <v>78</v>
      </c>
      <c r="K23">
        <v>50</v>
      </c>
      <c r="L23">
        <v>0</v>
      </c>
      <c r="AE23" s="3">
        <v>42391.230446122703</v>
      </c>
      <c r="AF23">
        <v>3173</v>
      </c>
      <c r="AG23">
        <v>23858</v>
      </c>
      <c r="AH23">
        <v>7481</v>
      </c>
      <c r="AI23">
        <v>16377</v>
      </c>
      <c r="AJ23">
        <v>5</v>
      </c>
      <c r="AK23">
        <v>598</v>
      </c>
      <c r="AL23">
        <v>92</v>
      </c>
      <c r="AM23" t="s">
        <v>51</v>
      </c>
      <c r="AN23">
        <v>44</v>
      </c>
      <c r="AO23" t="s">
        <v>52</v>
      </c>
    </row>
    <row r="24" spans="1:41" x14ac:dyDescent="0.25">
      <c r="A24" s="2">
        <v>42391</v>
      </c>
      <c r="B24" s="1">
        <v>42391.9389898148</v>
      </c>
      <c r="C24" t="s">
        <v>50</v>
      </c>
      <c r="D24">
        <v>26924</v>
      </c>
      <c r="E24">
        <v>0</v>
      </c>
      <c r="F24">
        <v>555</v>
      </c>
      <c r="I24">
        <v>40</v>
      </c>
      <c r="J24">
        <v>76</v>
      </c>
      <c r="K24">
        <v>49</v>
      </c>
      <c r="L24">
        <v>0</v>
      </c>
      <c r="AE24" s="3">
        <v>42392.244727268502</v>
      </c>
      <c r="AF24">
        <v>4192</v>
      </c>
      <c r="AG24">
        <v>22731</v>
      </c>
      <c r="AH24">
        <v>6138</v>
      </c>
      <c r="AI24">
        <v>16593</v>
      </c>
      <c r="AJ24">
        <v>8</v>
      </c>
      <c r="AK24">
        <v>598</v>
      </c>
      <c r="AL24">
        <v>87</v>
      </c>
      <c r="AM24" t="s">
        <v>51</v>
      </c>
      <c r="AN24">
        <v>42</v>
      </c>
      <c r="AO24" t="s">
        <v>52</v>
      </c>
    </row>
    <row r="25" spans="1:41" x14ac:dyDescent="0.25">
      <c r="A25" s="2">
        <v>42392</v>
      </c>
      <c r="B25" s="1">
        <v>42392.920356180599</v>
      </c>
      <c r="C25" t="s">
        <v>50</v>
      </c>
      <c r="D25">
        <v>28385</v>
      </c>
      <c r="E25">
        <v>0</v>
      </c>
      <c r="F25">
        <v>590</v>
      </c>
      <c r="I25">
        <v>38</v>
      </c>
      <c r="J25">
        <v>75</v>
      </c>
      <c r="K25">
        <v>49</v>
      </c>
      <c r="L25">
        <v>0</v>
      </c>
      <c r="AE25" s="3">
        <v>42393.237800196803</v>
      </c>
      <c r="AF25">
        <v>5030</v>
      </c>
      <c r="AG25">
        <v>23355</v>
      </c>
      <c r="AH25">
        <v>2275</v>
      </c>
      <c r="AI25">
        <v>21080</v>
      </c>
      <c r="AJ25">
        <v>7</v>
      </c>
      <c r="AK25">
        <v>1227</v>
      </c>
      <c r="AL25">
        <v>89</v>
      </c>
      <c r="AM25" t="s">
        <v>51</v>
      </c>
      <c r="AN25">
        <v>41</v>
      </c>
      <c r="AO25" t="s">
        <v>52</v>
      </c>
    </row>
    <row r="26" spans="1:41" x14ac:dyDescent="0.25">
      <c r="A26" s="2">
        <v>42393</v>
      </c>
      <c r="B26" s="1">
        <v>42393.929960173598</v>
      </c>
      <c r="C26" t="s">
        <v>50</v>
      </c>
      <c r="D26">
        <v>25118</v>
      </c>
      <c r="E26">
        <v>0</v>
      </c>
      <c r="F26">
        <v>524</v>
      </c>
      <c r="I26">
        <v>41</v>
      </c>
      <c r="J26">
        <v>80</v>
      </c>
      <c r="K26">
        <v>49</v>
      </c>
      <c r="L26">
        <v>0</v>
      </c>
      <c r="AE26" s="3">
        <v>42394.209946805597</v>
      </c>
      <c r="AF26">
        <v>2934</v>
      </c>
      <c r="AG26">
        <v>22184</v>
      </c>
      <c r="AH26">
        <v>3502</v>
      </c>
      <c r="AI26">
        <v>18682</v>
      </c>
      <c r="AJ26">
        <v>4</v>
      </c>
      <c r="AK26">
        <v>658</v>
      </c>
      <c r="AL26">
        <v>94</v>
      </c>
      <c r="AM26" t="s">
        <v>51</v>
      </c>
      <c r="AN26">
        <v>44</v>
      </c>
      <c r="AO26" t="s">
        <v>52</v>
      </c>
    </row>
    <row r="27" spans="1:41" x14ac:dyDescent="0.25">
      <c r="A27" s="2">
        <v>42394</v>
      </c>
      <c r="B27" s="1">
        <v>42394.908020798597</v>
      </c>
      <c r="C27" t="s">
        <v>50</v>
      </c>
      <c r="D27">
        <v>26060</v>
      </c>
      <c r="E27">
        <v>0</v>
      </c>
      <c r="F27">
        <v>538</v>
      </c>
      <c r="I27">
        <v>39</v>
      </c>
      <c r="J27">
        <v>94</v>
      </c>
      <c r="K27">
        <v>49</v>
      </c>
      <c r="L27">
        <v>0</v>
      </c>
      <c r="AE27" s="3">
        <v>42395.204451562502</v>
      </c>
      <c r="AF27">
        <v>2066</v>
      </c>
      <c r="AG27">
        <v>23994</v>
      </c>
      <c r="AH27">
        <v>3144</v>
      </c>
      <c r="AI27">
        <v>20850</v>
      </c>
      <c r="AJ27">
        <v>3</v>
      </c>
      <c r="AK27">
        <v>838</v>
      </c>
      <c r="AL27">
        <v>96</v>
      </c>
      <c r="AM27" t="s">
        <v>51</v>
      </c>
      <c r="AN27">
        <v>42</v>
      </c>
      <c r="AO27" t="s">
        <v>52</v>
      </c>
    </row>
    <row r="28" spans="1:41" x14ac:dyDescent="0.25">
      <c r="A28" s="2">
        <v>42395</v>
      </c>
      <c r="B28" s="1">
        <v>42395.954996076398</v>
      </c>
      <c r="C28" t="s">
        <v>50</v>
      </c>
      <c r="D28">
        <v>24372</v>
      </c>
      <c r="E28">
        <v>0</v>
      </c>
      <c r="F28">
        <v>502</v>
      </c>
      <c r="I28">
        <v>41</v>
      </c>
      <c r="J28">
        <v>78</v>
      </c>
      <c r="K28">
        <v>50</v>
      </c>
      <c r="L28">
        <v>0</v>
      </c>
      <c r="AE28" s="3">
        <v>42396.235350509298</v>
      </c>
      <c r="AF28">
        <v>2368</v>
      </c>
      <c r="AG28">
        <v>22004</v>
      </c>
      <c r="AH28">
        <v>2068</v>
      </c>
      <c r="AI28">
        <v>19936</v>
      </c>
      <c r="AJ28">
        <v>6</v>
      </c>
      <c r="AK28">
        <v>659</v>
      </c>
      <c r="AL28">
        <v>93</v>
      </c>
      <c r="AM28" t="s">
        <v>51</v>
      </c>
      <c r="AN28">
        <v>44</v>
      </c>
      <c r="AO28" t="s">
        <v>52</v>
      </c>
    </row>
    <row r="29" spans="1:41" x14ac:dyDescent="0.25">
      <c r="A29" s="2">
        <v>42396</v>
      </c>
      <c r="B29" s="1">
        <v>42396.921620405097</v>
      </c>
      <c r="C29" t="s">
        <v>50</v>
      </c>
      <c r="D29">
        <v>28041</v>
      </c>
      <c r="E29">
        <v>0</v>
      </c>
      <c r="F29">
        <v>579</v>
      </c>
      <c r="I29">
        <v>40</v>
      </c>
      <c r="J29">
        <v>80</v>
      </c>
      <c r="K29">
        <v>50</v>
      </c>
      <c r="L29">
        <v>0</v>
      </c>
      <c r="AE29" s="3">
        <v>42397.244439768503</v>
      </c>
      <c r="AF29">
        <v>3235</v>
      </c>
      <c r="AG29">
        <v>24805</v>
      </c>
      <c r="AH29">
        <v>2636</v>
      </c>
      <c r="AI29">
        <v>22169</v>
      </c>
      <c r="AJ29">
        <v>5</v>
      </c>
      <c r="AK29">
        <v>1168</v>
      </c>
      <c r="AL29">
        <v>92</v>
      </c>
      <c r="AM29" t="s">
        <v>51</v>
      </c>
      <c r="AN29">
        <v>44</v>
      </c>
      <c r="AO29" t="s">
        <v>52</v>
      </c>
    </row>
    <row r="30" spans="1:41" x14ac:dyDescent="0.25">
      <c r="A30" s="2">
        <v>42397</v>
      </c>
      <c r="B30" s="1">
        <v>42397.908207847198</v>
      </c>
      <c r="C30" t="s">
        <v>50</v>
      </c>
      <c r="D30">
        <v>27321</v>
      </c>
      <c r="E30">
        <v>0</v>
      </c>
      <c r="F30">
        <v>570</v>
      </c>
      <c r="I30">
        <v>39</v>
      </c>
      <c r="J30">
        <v>80</v>
      </c>
      <c r="K30">
        <v>51</v>
      </c>
      <c r="L30">
        <v>0</v>
      </c>
      <c r="AE30" s="3">
        <v>42398.222690601899</v>
      </c>
      <c r="AF30">
        <v>4014</v>
      </c>
      <c r="AG30">
        <v>23306</v>
      </c>
      <c r="AH30">
        <v>5870</v>
      </c>
      <c r="AI30">
        <v>17436</v>
      </c>
      <c r="AJ30">
        <v>12</v>
      </c>
      <c r="AK30">
        <v>988</v>
      </c>
      <c r="AL30">
        <v>88</v>
      </c>
      <c r="AM30" t="s">
        <v>51</v>
      </c>
      <c r="AN30">
        <v>41</v>
      </c>
      <c r="AO30" t="s">
        <v>52</v>
      </c>
    </row>
    <row r="31" spans="1:41" x14ac:dyDescent="0.25">
      <c r="A31" s="2">
        <v>42398</v>
      </c>
      <c r="B31" s="1">
        <v>42398.921944965303</v>
      </c>
      <c r="C31" t="s">
        <v>50</v>
      </c>
      <c r="D31">
        <v>29407</v>
      </c>
      <c r="E31">
        <v>0</v>
      </c>
      <c r="F31">
        <v>603</v>
      </c>
      <c r="I31">
        <v>39</v>
      </c>
      <c r="J31">
        <v>75</v>
      </c>
      <c r="K31">
        <v>49</v>
      </c>
      <c r="L31">
        <v>0</v>
      </c>
      <c r="AE31" s="3">
        <v>42399.247390439799</v>
      </c>
      <c r="AF31">
        <v>6325</v>
      </c>
      <c r="AG31">
        <v>23082</v>
      </c>
      <c r="AH31">
        <v>8301</v>
      </c>
      <c r="AI31">
        <v>14781</v>
      </c>
      <c r="AJ31">
        <v>8</v>
      </c>
      <c r="AK31">
        <v>479</v>
      </c>
      <c r="AL31">
        <v>83</v>
      </c>
      <c r="AM31" t="s">
        <v>51</v>
      </c>
      <c r="AN31">
        <v>42</v>
      </c>
      <c r="AO31" t="s">
        <v>52</v>
      </c>
    </row>
    <row r="32" spans="1:41" x14ac:dyDescent="0.25">
      <c r="A32" s="2">
        <v>42399</v>
      </c>
      <c r="B32" s="1">
        <v>42399.942395520797</v>
      </c>
      <c r="C32" t="s">
        <v>50</v>
      </c>
      <c r="D32">
        <v>28005</v>
      </c>
      <c r="E32">
        <v>0</v>
      </c>
      <c r="F32">
        <v>578</v>
      </c>
      <c r="I32">
        <v>39</v>
      </c>
      <c r="J32">
        <v>80</v>
      </c>
      <c r="K32">
        <v>50</v>
      </c>
      <c r="L32">
        <v>0</v>
      </c>
      <c r="AE32" s="3">
        <v>42400.264798588003</v>
      </c>
      <c r="AF32">
        <v>3744</v>
      </c>
      <c r="AG32">
        <v>24261</v>
      </c>
      <c r="AH32">
        <v>6797</v>
      </c>
      <c r="AI32">
        <v>17464</v>
      </c>
      <c r="AJ32">
        <v>10</v>
      </c>
      <c r="AK32">
        <v>569</v>
      </c>
      <c r="AL32">
        <v>88</v>
      </c>
      <c r="AM32" t="s">
        <v>51</v>
      </c>
      <c r="AN32">
        <v>42</v>
      </c>
      <c r="AO32" t="s">
        <v>52</v>
      </c>
    </row>
    <row r="33" spans="1:41" x14ac:dyDescent="0.25">
      <c r="A33" s="2">
        <v>42401</v>
      </c>
      <c r="B33" s="1">
        <v>42401.886614490701</v>
      </c>
      <c r="C33" t="s">
        <v>50</v>
      </c>
      <c r="D33">
        <v>28446</v>
      </c>
      <c r="E33">
        <v>0</v>
      </c>
      <c r="F33">
        <v>596</v>
      </c>
      <c r="I33">
        <v>39</v>
      </c>
      <c r="J33">
        <v>92</v>
      </c>
      <c r="K33">
        <v>50</v>
      </c>
      <c r="L33">
        <v>0</v>
      </c>
      <c r="AE33" s="3">
        <v>42402.214127141197</v>
      </c>
      <c r="AF33">
        <v>2874</v>
      </c>
      <c r="AG33">
        <v>25572</v>
      </c>
      <c r="AH33">
        <v>988</v>
      </c>
      <c r="AI33">
        <v>24584</v>
      </c>
      <c r="AJ33">
        <v>7</v>
      </c>
      <c r="AK33">
        <v>538</v>
      </c>
      <c r="AL33">
        <v>92</v>
      </c>
      <c r="AM33" t="s">
        <v>51</v>
      </c>
      <c r="AN33">
        <v>43</v>
      </c>
      <c r="AO33" t="s">
        <v>52</v>
      </c>
    </row>
    <row r="34" spans="1:41" x14ac:dyDescent="0.25">
      <c r="A34" s="2">
        <v>42402</v>
      </c>
      <c r="B34" s="1">
        <v>42402.9014594213</v>
      </c>
      <c r="C34" t="s">
        <v>50</v>
      </c>
      <c r="D34">
        <v>28499</v>
      </c>
      <c r="E34">
        <v>0</v>
      </c>
      <c r="F34">
        <v>583</v>
      </c>
      <c r="I34">
        <v>38</v>
      </c>
      <c r="J34">
        <v>86</v>
      </c>
      <c r="K34">
        <v>48</v>
      </c>
      <c r="L34">
        <v>0</v>
      </c>
      <c r="AE34" s="3">
        <v>42403.229587638903</v>
      </c>
      <c r="AF34">
        <v>2394</v>
      </c>
      <c r="AG34">
        <v>26105</v>
      </c>
      <c r="AH34">
        <v>6194</v>
      </c>
      <c r="AI34">
        <v>19911</v>
      </c>
      <c r="AJ34">
        <v>5</v>
      </c>
      <c r="AK34">
        <v>508</v>
      </c>
      <c r="AL34">
        <v>93</v>
      </c>
      <c r="AM34" t="s">
        <v>51</v>
      </c>
      <c r="AN34">
        <v>42</v>
      </c>
      <c r="AO34" t="s">
        <v>52</v>
      </c>
    </row>
    <row r="35" spans="1:41" x14ac:dyDescent="0.25">
      <c r="A35" s="2">
        <v>42403</v>
      </c>
      <c r="B35" s="1">
        <v>42403.958766076401</v>
      </c>
      <c r="C35" t="s">
        <v>50</v>
      </c>
      <c r="D35">
        <v>25492</v>
      </c>
      <c r="E35">
        <v>0</v>
      </c>
      <c r="F35">
        <v>526</v>
      </c>
      <c r="I35">
        <v>39</v>
      </c>
      <c r="J35">
        <v>83</v>
      </c>
      <c r="K35">
        <v>47</v>
      </c>
      <c r="L35">
        <v>0</v>
      </c>
      <c r="AE35" s="3">
        <v>42404.246195266198</v>
      </c>
      <c r="AF35">
        <v>3684</v>
      </c>
      <c r="AG35">
        <v>21808</v>
      </c>
      <c r="AH35">
        <v>3773</v>
      </c>
      <c r="AI35">
        <v>18035</v>
      </c>
      <c r="AJ35">
        <v>4</v>
      </c>
      <c r="AK35">
        <v>898</v>
      </c>
      <c r="AL35">
        <v>91</v>
      </c>
      <c r="AM35" t="s">
        <v>51</v>
      </c>
      <c r="AN35">
        <v>41</v>
      </c>
      <c r="AO35" t="s">
        <v>52</v>
      </c>
    </row>
    <row r="36" spans="1:41" x14ac:dyDescent="0.25">
      <c r="A36" s="2">
        <v>42404</v>
      </c>
      <c r="B36" s="1">
        <v>42404.917492106499</v>
      </c>
      <c r="C36" t="s">
        <v>50</v>
      </c>
      <c r="D36">
        <v>29026</v>
      </c>
      <c r="E36">
        <v>0</v>
      </c>
      <c r="F36">
        <v>600</v>
      </c>
      <c r="I36">
        <v>39</v>
      </c>
      <c r="J36">
        <v>76</v>
      </c>
      <c r="K36">
        <v>49</v>
      </c>
      <c r="L36">
        <v>0</v>
      </c>
      <c r="AE36" s="3">
        <v>42405.251717407402</v>
      </c>
      <c r="AF36">
        <v>4852</v>
      </c>
      <c r="AG36">
        <v>24174</v>
      </c>
      <c r="AH36">
        <v>5121</v>
      </c>
      <c r="AI36">
        <v>19053</v>
      </c>
      <c r="AJ36">
        <v>8</v>
      </c>
      <c r="AK36">
        <v>1377</v>
      </c>
      <c r="AL36">
        <v>87</v>
      </c>
      <c r="AM36" t="s">
        <v>51</v>
      </c>
      <c r="AN36">
        <v>42</v>
      </c>
      <c r="AO36" t="s">
        <v>52</v>
      </c>
    </row>
    <row r="37" spans="1:41" x14ac:dyDescent="0.25">
      <c r="A37" s="2">
        <v>42405</v>
      </c>
      <c r="B37" s="1">
        <v>42405.925696331004</v>
      </c>
      <c r="C37" t="s">
        <v>50</v>
      </c>
      <c r="D37">
        <v>25422</v>
      </c>
      <c r="E37">
        <v>0</v>
      </c>
      <c r="F37">
        <v>528</v>
      </c>
      <c r="I37">
        <v>39</v>
      </c>
      <c r="J37">
        <v>79</v>
      </c>
      <c r="K37">
        <v>48</v>
      </c>
      <c r="L37">
        <v>0</v>
      </c>
      <c r="AE37" s="3">
        <v>42406.204675706002</v>
      </c>
      <c r="AF37">
        <v>5546</v>
      </c>
      <c r="AG37">
        <v>19876</v>
      </c>
      <c r="AH37">
        <v>3297</v>
      </c>
      <c r="AI37">
        <v>16579</v>
      </c>
      <c r="AJ37">
        <v>3</v>
      </c>
      <c r="AK37">
        <v>809</v>
      </c>
      <c r="AL37">
        <v>85</v>
      </c>
      <c r="AM37" t="s">
        <v>51</v>
      </c>
      <c r="AN37">
        <v>42</v>
      </c>
      <c r="AO37" t="s">
        <v>52</v>
      </c>
    </row>
    <row r="38" spans="1:41" x14ac:dyDescent="0.25">
      <c r="A38" s="2">
        <v>42407</v>
      </c>
      <c r="B38" s="1">
        <v>42407.932660497703</v>
      </c>
      <c r="C38" t="s">
        <v>50</v>
      </c>
      <c r="D38">
        <v>27083</v>
      </c>
      <c r="E38">
        <v>0</v>
      </c>
      <c r="F38">
        <v>558</v>
      </c>
      <c r="I38">
        <v>42</v>
      </c>
      <c r="J38">
        <v>83</v>
      </c>
      <c r="K38">
        <v>50</v>
      </c>
      <c r="L38">
        <v>0</v>
      </c>
      <c r="AE38" s="3">
        <v>42408.244392974499</v>
      </c>
      <c r="AF38">
        <v>3355</v>
      </c>
      <c r="AG38">
        <v>23728</v>
      </c>
      <c r="AH38">
        <v>0</v>
      </c>
      <c r="AI38">
        <v>23728</v>
      </c>
      <c r="AJ38">
        <v>9</v>
      </c>
      <c r="AK38">
        <v>569</v>
      </c>
      <c r="AL38">
        <v>89</v>
      </c>
      <c r="AM38" t="s">
        <v>51</v>
      </c>
      <c r="AN38">
        <v>44</v>
      </c>
      <c r="AO38" t="s">
        <v>52</v>
      </c>
    </row>
    <row r="39" spans="1:41" x14ac:dyDescent="0.25">
      <c r="A39" s="2">
        <v>42407</v>
      </c>
      <c r="B39" s="1">
        <v>42407.001841249999</v>
      </c>
      <c r="C39" t="s">
        <v>50</v>
      </c>
      <c r="D39">
        <v>21090</v>
      </c>
      <c r="E39">
        <v>0</v>
      </c>
      <c r="F39">
        <v>439</v>
      </c>
      <c r="I39">
        <v>40</v>
      </c>
      <c r="J39">
        <v>72</v>
      </c>
      <c r="K39">
        <v>48</v>
      </c>
      <c r="L39">
        <v>0</v>
      </c>
      <c r="AE39" s="3">
        <v>42407.224102060201</v>
      </c>
      <c r="AF39">
        <v>4104</v>
      </c>
      <c r="AG39">
        <v>16986</v>
      </c>
      <c r="AH39">
        <v>5300</v>
      </c>
      <c r="AI39">
        <v>11686</v>
      </c>
      <c r="AJ39">
        <v>2</v>
      </c>
      <c r="AK39">
        <v>509</v>
      </c>
      <c r="AL39">
        <v>90</v>
      </c>
      <c r="AM39" t="s">
        <v>51</v>
      </c>
      <c r="AN39">
        <v>42</v>
      </c>
      <c r="AO39" t="s">
        <v>52</v>
      </c>
    </row>
    <row r="40" spans="1:41" x14ac:dyDescent="0.25">
      <c r="A40" s="2">
        <v>42408</v>
      </c>
      <c r="B40" s="1">
        <v>42408.916844745399</v>
      </c>
      <c r="C40" t="s">
        <v>50</v>
      </c>
      <c r="D40">
        <v>25402</v>
      </c>
      <c r="E40">
        <v>0</v>
      </c>
      <c r="F40">
        <v>522</v>
      </c>
      <c r="I40">
        <v>40</v>
      </c>
      <c r="J40">
        <v>73</v>
      </c>
      <c r="K40">
        <v>49</v>
      </c>
      <c r="L40">
        <v>0</v>
      </c>
      <c r="AE40" s="3">
        <v>42409.206349849497</v>
      </c>
      <c r="AF40">
        <v>2396</v>
      </c>
      <c r="AG40">
        <v>23006</v>
      </c>
      <c r="AH40">
        <v>5600</v>
      </c>
      <c r="AI40">
        <v>17406</v>
      </c>
      <c r="AJ40">
        <v>6</v>
      </c>
      <c r="AK40">
        <v>359</v>
      </c>
      <c r="AL40">
        <v>93</v>
      </c>
      <c r="AM40" t="s">
        <v>51</v>
      </c>
      <c r="AN40">
        <v>44</v>
      </c>
      <c r="AO40" t="s">
        <v>52</v>
      </c>
    </row>
    <row r="41" spans="1:41" x14ac:dyDescent="0.25">
      <c r="A41" s="2">
        <v>42409</v>
      </c>
      <c r="B41" s="1">
        <v>42409.929365798598</v>
      </c>
      <c r="C41" t="s">
        <v>50</v>
      </c>
      <c r="D41">
        <v>25667</v>
      </c>
      <c r="E41">
        <v>0</v>
      </c>
      <c r="F41">
        <v>535</v>
      </c>
      <c r="I41">
        <v>42</v>
      </c>
      <c r="J41">
        <v>75</v>
      </c>
      <c r="K41">
        <v>51</v>
      </c>
      <c r="L41">
        <v>0</v>
      </c>
      <c r="AE41" s="3">
        <v>42410.224712789401</v>
      </c>
      <c r="AF41">
        <v>3324</v>
      </c>
      <c r="AG41">
        <v>22343</v>
      </c>
      <c r="AH41">
        <v>5150</v>
      </c>
      <c r="AI41">
        <v>17193</v>
      </c>
      <c r="AJ41">
        <v>6</v>
      </c>
      <c r="AK41">
        <v>898</v>
      </c>
      <c r="AL41">
        <v>90</v>
      </c>
      <c r="AM41" t="s">
        <v>51</v>
      </c>
      <c r="AN41">
        <v>44</v>
      </c>
      <c r="AO41" t="s">
        <v>52</v>
      </c>
    </row>
    <row r="42" spans="1:41" x14ac:dyDescent="0.25">
      <c r="A42" s="2">
        <v>42411</v>
      </c>
      <c r="B42" s="1">
        <v>42411.915798726899</v>
      </c>
      <c r="C42" t="s">
        <v>50</v>
      </c>
      <c r="D42">
        <v>30306</v>
      </c>
      <c r="E42">
        <v>0</v>
      </c>
      <c r="F42">
        <v>633</v>
      </c>
      <c r="I42">
        <v>42</v>
      </c>
      <c r="J42">
        <v>99</v>
      </c>
      <c r="K42">
        <v>52</v>
      </c>
      <c r="L42">
        <v>0</v>
      </c>
      <c r="AE42" s="3">
        <v>42412.2648397222</v>
      </c>
      <c r="AF42">
        <v>3324</v>
      </c>
      <c r="AG42">
        <v>26982</v>
      </c>
      <c r="AH42">
        <v>5718</v>
      </c>
      <c r="AI42">
        <v>21264</v>
      </c>
      <c r="AJ42">
        <v>5</v>
      </c>
      <c r="AK42">
        <v>658</v>
      </c>
      <c r="AL42">
        <v>91</v>
      </c>
      <c r="AM42" t="s">
        <v>51</v>
      </c>
      <c r="AN42">
        <v>44</v>
      </c>
      <c r="AO42" t="s">
        <v>52</v>
      </c>
    </row>
    <row r="43" spans="1:41" x14ac:dyDescent="0.25">
      <c r="A43" s="2">
        <v>42412</v>
      </c>
      <c r="B43" s="1">
        <v>42412.929182511602</v>
      </c>
      <c r="C43" t="s">
        <v>50</v>
      </c>
      <c r="D43">
        <v>28878</v>
      </c>
      <c r="E43">
        <v>0</v>
      </c>
      <c r="F43">
        <v>600</v>
      </c>
      <c r="I43">
        <v>39</v>
      </c>
      <c r="J43">
        <v>87</v>
      </c>
      <c r="K43">
        <v>50</v>
      </c>
      <c r="L43">
        <v>0</v>
      </c>
      <c r="AE43" s="3">
        <v>42413.2616887037</v>
      </c>
      <c r="AF43">
        <v>5062</v>
      </c>
      <c r="AG43">
        <v>23815</v>
      </c>
      <c r="AH43">
        <v>3205</v>
      </c>
      <c r="AI43">
        <v>20610</v>
      </c>
      <c r="AJ43">
        <v>7</v>
      </c>
      <c r="AK43">
        <v>689</v>
      </c>
      <c r="AL43">
        <v>84</v>
      </c>
      <c r="AM43" t="s">
        <v>51</v>
      </c>
      <c r="AN43">
        <v>42</v>
      </c>
      <c r="AO43" t="s">
        <v>52</v>
      </c>
    </row>
    <row r="44" spans="1:41" x14ac:dyDescent="0.25">
      <c r="A44" s="2">
        <v>42413</v>
      </c>
      <c r="B44" s="1">
        <v>42413.937446331001</v>
      </c>
      <c r="C44" t="s">
        <v>50</v>
      </c>
      <c r="D44">
        <v>27801</v>
      </c>
      <c r="E44">
        <v>0</v>
      </c>
      <c r="F44">
        <v>587</v>
      </c>
      <c r="I44">
        <v>42</v>
      </c>
      <c r="J44">
        <v>88</v>
      </c>
      <c r="K44">
        <v>53</v>
      </c>
      <c r="L44">
        <v>0</v>
      </c>
      <c r="AE44" s="3">
        <v>42414.257486736104</v>
      </c>
      <c r="AF44">
        <v>6560</v>
      </c>
      <c r="AG44">
        <v>21240</v>
      </c>
      <c r="AH44">
        <v>6049</v>
      </c>
      <c r="AI44">
        <v>15191</v>
      </c>
      <c r="AJ44">
        <v>8</v>
      </c>
      <c r="AK44">
        <v>1138</v>
      </c>
      <c r="AL44">
        <v>80</v>
      </c>
      <c r="AM44" t="s">
        <v>51</v>
      </c>
      <c r="AN44">
        <v>45</v>
      </c>
      <c r="AO44" t="s">
        <v>52</v>
      </c>
    </row>
    <row r="45" spans="1:41" x14ac:dyDescent="0.25">
      <c r="A45" s="2">
        <v>42414</v>
      </c>
      <c r="B45" s="1">
        <v>42414.927047719902</v>
      </c>
      <c r="C45" t="s">
        <v>50</v>
      </c>
      <c r="D45">
        <v>27709</v>
      </c>
      <c r="E45">
        <v>0</v>
      </c>
      <c r="F45">
        <v>580</v>
      </c>
      <c r="I45">
        <v>43</v>
      </c>
      <c r="J45">
        <v>82</v>
      </c>
      <c r="K45">
        <v>53</v>
      </c>
      <c r="L45">
        <v>0</v>
      </c>
      <c r="AE45" s="3">
        <v>42415.246027280104</v>
      </c>
      <c r="AF45">
        <v>3924</v>
      </c>
      <c r="AG45">
        <v>23785</v>
      </c>
      <c r="AH45">
        <v>6379</v>
      </c>
      <c r="AI45">
        <v>17406</v>
      </c>
      <c r="AJ45">
        <v>5</v>
      </c>
      <c r="AK45">
        <v>629</v>
      </c>
      <c r="AL45">
        <v>88</v>
      </c>
      <c r="AM45" t="s">
        <v>51</v>
      </c>
      <c r="AN45">
        <v>45</v>
      </c>
      <c r="AO45" t="s">
        <v>52</v>
      </c>
    </row>
    <row r="46" spans="1:41" x14ac:dyDescent="0.25">
      <c r="A46" s="2">
        <v>42415</v>
      </c>
      <c r="B46" s="1">
        <v>42415.884460879599</v>
      </c>
      <c r="C46" t="s">
        <v>50</v>
      </c>
      <c r="D46">
        <v>28132</v>
      </c>
      <c r="E46">
        <v>0</v>
      </c>
      <c r="F46">
        <v>582</v>
      </c>
      <c r="I46">
        <v>38</v>
      </c>
      <c r="J46">
        <v>78</v>
      </c>
      <c r="K46">
        <v>50</v>
      </c>
      <c r="L46">
        <v>0</v>
      </c>
      <c r="AE46" s="3">
        <v>42416.206261713</v>
      </c>
      <c r="AF46">
        <v>1975</v>
      </c>
      <c r="AG46">
        <v>26157</v>
      </c>
      <c r="AH46">
        <v>3949</v>
      </c>
      <c r="AI46">
        <v>22208</v>
      </c>
      <c r="AJ46">
        <v>3</v>
      </c>
      <c r="AK46">
        <v>658</v>
      </c>
      <c r="AL46">
        <v>96</v>
      </c>
      <c r="AM46" t="s">
        <v>51</v>
      </c>
      <c r="AN46">
        <v>41</v>
      </c>
      <c r="AO46" t="s">
        <v>52</v>
      </c>
    </row>
    <row r="47" spans="1:41" x14ac:dyDescent="0.25">
      <c r="A47" s="2">
        <v>42416</v>
      </c>
      <c r="B47" s="1">
        <v>42416.915973032403</v>
      </c>
      <c r="C47" t="s">
        <v>50</v>
      </c>
      <c r="D47">
        <v>28523</v>
      </c>
      <c r="E47">
        <v>0</v>
      </c>
      <c r="F47">
        <v>601</v>
      </c>
      <c r="I47">
        <v>40</v>
      </c>
      <c r="J47">
        <v>81</v>
      </c>
      <c r="K47">
        <v>52</v>
      </c>
      <c r="L47">
        <v>0</v>
      </c>
      <c r="AE47" s="3">
        <v>42417.225302963001</v>
      </c>
      <c r="AF47">
        <v>4614</v>
      </c>
      <c r="AG47">
        <v>23909</v>
      </c>
      <c r="AH47">
        <v>2785</v>
      </c>
      <c r="AI47">
        <v>21124</v>
      </c>
      <c r="AJ47">
        <v>8</v>
      </c>
      <c r="AK47">
        <v>779</v>
      </c>
      <c r="AL47">
        <v>92</v>
      </c>
      <c r="AM47" t="s">
        <v>51</v>
      </c>
      <c r="AN47">
        <v>45</v>
      </c>
      <c r="AO47" t="s">
        <v>52</v>
      </c>
    </row>
    <row r="48" spans="1:41" x14ac:dyDescent="0.25">
      <c r="A48" s="2">
        <v>42417</v>
      </c>
      <c r="B48" s="1">
        <v>42417.953390590301</v>
      </c>
      <c r="C48" t="s">
        <v>50</v>
      </c>
      <c r="D48">
        <v>25688</v>
      </c>
      <c r="E48">
        <v>0</v>
      </c>
      <c r="F48">
        <v>536</v>
      </c>
      <c r="I48">
        <v>41</v>
      </c>
      <c r="J48">
        <v>77</v>
      </c>
      <c r="K48">
        <v>50</v>
      </c>
      <c r="L48">
        <v>0</v>
      </c>
      <c r="AE48" s="3">
        <v>42418.246900150501</v>
      </c>
      <c r="AF48">
        <v>3443</v>
      </c>
      <c r="AG48">
        <v>22245</v>
      </c>
      <c r="AH48">
        <v>2694</v>
      </c>
      <c r="AI48">
        <v>19551</v>
      </c>
      <c r="AJ48">
        <v>5</v>
      </c>
      <c r="AK48">
        <v>419</v>
      </c>
      <c r="AL48">
        <v>89</v>
      </c>
      <c r="AM48" t="s">
        <v>51</v>
      </c>
      <c r="AN48">
        <v>44</v>
      </c>
      <c r="AO48" t="s">
        <v>52</v>
      </c>
    </row>
    <row r="49" spans="1:41" x14ac:dyDescent="0.25">
      <c r="A49" s="2">
        <v>42418</v>
      </c>
      <c r="B49" s="1">
        <v>42418.928634536998</v>
      </c>
      <c r="C49" t="s">
        <v>50</v>
      </c>
      <c r="D49">
        <v>28281</v>
      </c>
      <c r="E49">
        <v>0</v>
      </c>
      <c r="F49">
        <v>586</v>
      </c>
      <c r="I49">
        <v>42</v>
      </c>
      <c r="J49">
        <v>75</v>
      </c>
      <c r="K49">
        <v>50</v>
      </c>
      <c r="L49">
        <v>0</v>
      </c>
      <c r="AE49" s="3">
        <v>42419.254235509303</v>
      </c>
      <c r="AF49">
        <v>5392</v>
      </c>
      <c r="AG49">
        <v>22889</v>
      </c>
      <c r="AH49">
        <v>5510</v>
      </c>
      <c r="AI49">
        <v>17379</v>
      </c>
      <c r="AJ49">
        <v>7</v>
      </c>
      <c r="AK49">
        <v>1707</v>
      </c>
      <c r="AL49">
        <v>86</v>
      </c>
      <c r="AM49" t="s">
        <v>51</v>
      </c>
      <c r="AN49">
        <v>45</v>
      </c>
      <c r="AO49" t="s">
        <v>52</v>
      </c>
    </row>
    <row r="50" spans="1:41" x14ac:dyDescent="0.25">
      <c r="A50" s="2">
        <v>42419</v>
      </c>
      <c r="B50" s="1">
        <v>42419.940876863402</v>
      </c>
      <c r="C50" t="s">
        <v>50</v>
      </c>
      <c r="D50">
        <v>25825</v>
      </c>
      <c r="E50">
        <v>0</v>
      </c>
      <c r="F50">
        <v>526</v>
      </c>
      <c r="I50">
        <v>41</v>
      </c>
      <c r="J50">
        <v>84</v>
      </c>
      <c r="K50">
        <v>49</v>
      </c>
      <c r="L50">
        <v>0</v>
      </c>
      <c r="AE50" s="3">
        <v>42420.225563055603</v>
      </c>
      <c r="AF50">
        <v>3894</v>
      </c>
      <c r="AG50">
        <v>21930</v>
      </c>
      <c r="AH50">
        <v>988</v>
      </c>
      <c r="AI50">
        <v>20942</v>
      </c>
      <c r="AJ50">
        <v>7</v>
      </c>
      <c r="AK50">
        <v>719</v>
      </c>
      <c r="AL50">
        <v>91</v>
      </c>
      <c r="AM50" t="s">
        <v>51</v>
      </c>
      <c r="AN50">
        <v>44</v>
      </c>
      <c r="AO50" t="s">
        <v>52</v>
      </c>
    </row>
    <row r="51" spans="1:41" x14ac:dyDescent="0.25">
      <c r="A51" s="2">
        <v>42420</v>
      </c>
      <c r="B51" s="1">
        <v>42420.991423761603</v>
      </c>
      <c r="C51" t="s">
        <v>50</v>
      </c>
      <c r="D51">
        <v>23630</v>
      </c>
      <c r="E51">
        <v>0</v>
      </c>
      <c r="F51">
        <v>488</v>
      </c>
      <c r="I51">
        <v>40</v>
      </c>
      <c r="J51">
        <v>80</v>
      </c>
      <c r="K51">
        <v>52</v>
      </c>
      <c r="L51">
        <v>0</v>
      </c>
      <c r="AE51" s="3">
        <v>42421.252447118102</v>
      </c>
      <c r="AF51">
        <v>3564</v>
      </c>
      <c r="AG51">
        <v>20066</v>
      </c>
      <c r="AH51">
        <v>2245</v>
      </c>
      <c r="AI51">
        <v>17821</v>
      </c>
      <c r="AJ51">
        <v>7</v>
      </c>
      <c r="AK51">
        <v>539</v>
      </c>
      <c r="AL51">
        <v>91</v>
      </c>
      <c r="AM51" t="s">
        <v>51</v>
      </c>
      <c r="AN51">
        <v>44</v>
      </c>
      <c r="AO51" t="s">
        <v>52</v>
      </c>
    </row>
    <row r="52" spans="1:41" x14ac:dyDescent="0.25">
      <c r="A52" s="2">
        <v>42421</v>
      </c>
      <c r="B52" s="1">
        <v>42421.922988587998</v>
      </c>
      <c r="C52" t="s">
        <v>50</v>
      </c>
      <c r="D52">
        <v>27414</v>
      </c>
      <c r="E52">
        <v>0</v>
      </c>
      <c r="F52">
        <v>556</v>
      </c>
      <c r="I52">
        <v>41</v>
      </c>
      <c r="J52">
        <v>76</v>
      </c>
      <c r="K52">
        <v>48</v>
      </c>
      <c r="L52">
        <v>0</v>
      </c>
      <c r="AE52" s="3">
        <v>42422.238559062498</v>
      </c>
      <c r="AF52">
        <v>2274</v>
      </c>
      <c r="AG52">
        <v>25140</v>
      </c>
      <c r="AH52">
        <v>1257</v>
      </c>
      <c r="AI52">
        <v>23883</v>
      </c>
      <c r="AJ52">
        <v>3</v>
      </c>
      <c r="AK52">
        <v>1077</v>
      </c>
      <c r="AL52">
        <v>95</v>
      </c>
      <c r="AM52" t="s">
        <v>51</v>
      </c>
      <c r="AN52">
        <v>43</v>
      </c>
      <c r="AO52" t="s">
        <v>52</v>
      </c>
    </row>
    <row r="53" spans="1:41" x14ac:dyDescent="0.25">
      <c r="A53" s="2">
        <v>42422</v>
      </c>
      <c r="B53" s="1">
        <v>42422.884687951402</v>
      </c>
      <c r="C53" t="s">
        <v>50</v>
      </c>
      <c r="D53">
        <v>28311</v>
      </c>
      <c r="E53">
        <v>0</v>
      </c>
      <c r="F53">
        <v>576</v>
      </c>
      <c r="I53">
        <v>40</v>
      </c>
      <c r="J53">
        <v>78</v>
      </c>
      <c r="K53">
        <v>48</v>
      </c>
      <c r="L53">
        <v>0</v>
      </c>
      <c r="AE53" s="3">
        <v>42423.2106400579</v>
      </c>
      <c r="AF53">
        <v>3591</v>
      </c>
      <c r="AG53">
        <v>24720</v>
      </c>
      <c r="AH53">
        <v>6014</v>
      </c>
      <c r="AI53">
        <v>18706</v>
      </c>
      <c r="AJ53">
        <v>6</v>
      </c>
      <c r="AK53">
        <v>1556</v>
      </c>
      <c r="AL53">
        <v>92</v>
      </c>
      <c r="AM53" t="s">
        <v>51</v>
      </c>
      <c r="AN53">
        <v>42</v>
      </c>
      <c r="AO53" t="s">
        <v>52</v>
      </c>
    </row>
    <row r="54" spans="1:41" x14ac:dyDescent="0.25">
      <c r="A54" s="2">
        <v>42423</v>
      </c>
      <c r="B54" s="1">
        <v>42423.911749745399</v>
      </c>
      <c r="C54" t="s">
        <v>50</v>
      </c>
      <c r="D54">
        <v>27698</v>
      </c>
      <c r="E54">
        <v>0</v>
      </c>
      <c r="F54">
        <v>576</v>
      </c>
      <c r="I54">
        <v>40</v>
      </c>
      <c r="J54">
        <v>93</v>
      </c>
      <c r="K54">
        <v>52</v>
      </c>
      <c r="L54">
        <v>0</v>
      </c>
      <c r="AE54" s="3">
        <v>42424.222280463</v>
      </c>
      <c r="AF54">
        <v>4850</v>
      </c>
      <c r="AG54">
        <v>22847</v>
      </c>
      <c r="AH54">
        <v>4461</v>
      </c>
      <c r="AI54">
        <v>18386</v>
      </c>
      <c r="AJ54">
        <v>9</v>
      </c>
      <c r="AK54">
        <v>598</v>
      </c>
      <c r="AL54">
        <v>87</v>
      </c>
      <c r="AM54" t="s">
        <v>51</v>
      </c>
      <c r="AN54">
        <v>43</v>
      </c>
      <c r="AO54" t="s">
        <v>52</v>
      </c>
    </row>
    <row r="55" spans="1:41" x14ac:dyDescent="0.25">
      <c r="A55" s="2">
        <v>42424</v>
      </c>
      <c r="B55" s="1">
        <v>42424.955363900503</v>
      </c>
      <c r="C55" t="s">
        <v>50</v>
      </c>
      <c r="D55">
        <v>25112</v>
      </c>
      <c r="E55">
        <v>0</v>
      </c>
      <c r="F55">
        <v>515</v>
      </c>
      <c r="I55">
        <v>41</v>
      </c>
      <c r="J55">
        <v>78</v>
      </c>
      <c r="K55">
        <v>51</v>
      </c>
      <c r="L55">
        <v>0</v>
      </c>
      <c r="AE55" s="3">
        <v>42425.218998067103</v>
      </c>
      <c r="AF55">
        <v>3232</v>
      </c>
      <c r="AG55">
        <v>21880</v>
      </c>
      <c r="AH55">
        <v>0</v>
      </c>
      <c r="AI55">
        <v>21880</v>
      </c>
      <c r="AJ55">
        <v>2</v>
      </c>
      <c r="AK55">
        <v>538</v>
      </c>
      <c r="AL55">
        <v>98</v>
      </c>
      <c r="AM55" t="s">
        <v>51</v>
      </c>
      <c r="AN55">
        <v>44</v>
      </c>
      <c r="AO55" t="s">
        <v>52</v>
      </c>
    </row>
    <row r="56" spans="1:41" x14ac:dyDescent="0.25">
      <c r="A56" s="2">
        <v>42425</v>
      </c>
      <c r="B56" s="1">
        <v>42425.918225983798</v>
      </c>
      <c r="C56" t="s">
        <v>50</v>
      </c>
      <c r="D56">
        <v>27650</v>
      </c>
      <c r="E56">
        <v>0</v>
      </c>
      <c r="F56">
        <v>569</v>
      </c>
      <c r="I56">
        <v>41</v>
      </c>
      <c r="J56">
        <v>81</v>
      </c>
      <c r="K56">
        <v>50</v>
      </c>
      <c r="L56">
        <v>0</v>
      </c>
      <c r="AE56" s="3">
        <v>42426.2365270023</v>
      </c>
      <c r="AF56">
        <v>5062</v>
      </c>
      <c r="AG56">
        <v>22588</v>
      </c>
      <c r="AH56">
        <v>1467</v>
      </c>
      <c r="AI56">
        <v>21121</v>
      </c>
      <c r="AJ56">
        <v>7</v>
      </c>
      <c r="AK56">
        <v>838</v>
      </c>
      <c r="AL56">
        <v>84</v>
      </c>
      <c r="AM56" t="s">
        <v>51</v>
      </c>
      <c r="AN56">
        <v>43</v>
      </c>
      <c r="AO56" t="s">
        <v>52</v>
      </c>
    </row>
    <row r="57" spans="1:41" x14ac:dyDescent="0.25">
      <c r="A57" s="2">
        <v>42426</v>
      </c>
      <c r="B57" s="1">
        <v>42426.938300347203</v>
      </c>
      <c r="C57" t="s">
        <v>50</v>
      </c>
      <c r="D57">
        <v>27043</v>
      </c>
      <c r="E57">
        <v>0</v>
      </c>
      <c r="F57">
        <v>553</v>
      </c>
      <c r="I57">
        <v>40</v>
      </c>
      <c r="J57">
        <v>76</v>
      </c>
      <c r="K57">
        <v>48</v>
      </c>
      <c r="L57">
        <v>0</v>
      </c>
      <c r="AE57" s="3">
        <v>42427.231196666697</v>
      </c>
      <c r="AF57">
        <v>4132</v>
      </c>
      <c r="AG57">
        <v>22910</v>
      </c>
      <c r="AH57">
        <v>2275</v>
      </c>
      <c r="AI57">
        <v>20635</v>
      </c>
      <c r="AJ57">
        <v>4</v>
      </c>
      <c r="AK57">
        <v>718</v>
      </c>
      <c r="AL57">
        <v>93</v>
      </c>
      <c r="AM57" t="s">
        <v>51</v>
      </c>
      <c r="AN57">
        <v>43</v>
      </c>
      <c r="AO57" t="s">
        <v>52</v>
      </c>
    </row>
    <row r="58" spans="1:41" x14ac:dyDescent="0.25">
      <c r="A58" s="2">
        <v>42427</v>
      </c>
      <c r="B58" s="1">
        <v>42427.994554293997</v>
      </c>
      <c r="C58" t="s">
        <v>50</v>
      </c>
      <c r="D58">
        <v>22714</v>
      </c>
      <c r="E58">
        <v>0</v>
      </c>
      <c r="F58">
        <v>479</v>
      </c>
      <c r="I58">
        <v>44</v>
      </c>
      <c r="J58">
        <v>85</v>
      </c>
      <c r="K58">
        <v>56</v>
      </c>
      <c r="L58">
        <v>0</v>
      </c>
      <c r="AE58" s="3">
        <v>42428.239066273098</v>
      </c>
      <c r="AF58">
        <v>4225</v>
      </c>
      <c r="AG58">
        <v>18488</v>
      </c>
      <c r="AH58">
        <v>2935</v>
      </c>
      <c r="AI58">
        <v>15553</v>
      </c>
      <c r="AJ58">
        <v>5</v>
      </c>
      <c r="AK58">
        <v>599</v>
      </c>
      <c r="AL58">
        <v>89</v>
      </c>
      <c r="AM58" t="s">
        <v>53</v>
      </c>
      <c r="AN58">
        <v>49</v>
      </c>
      <c r="AO58" t="s">
        <v>52</v>
      </c>
    </row>
    <row r="59" spans="1:41" x14ac:dyDescent="0.25">
      <c r="A59" s="2">
        <v>42428</v>
      </c>
      <c r="B59" s="1">
        <v>42428.904530659704</v>
      </c>
      <c r="C59" t="s">
        <v>50</v>
      </c>
      <c r="D59">
        <v>29361</v>
      </c>
      <c r="E59">
        <v>0</v>
      </c>
      <c r="F59">
        <v>595</v>
      </c>
      <c r="I59">
        <v>39</v>
      </c>
      <c r="J59">
        <v>86</v>
      </c>
      <c r="K59">
        <v>48</v>
      </c>
      <c r="L59">
        <v>0</v>
      </c>
      <c r="AE59" s="3">
        <v>42429.234667916702</v>
      </c>
      <c r="AF59">
        <v>2663</v>
      </c>
      <c r="AG59">
        <v>26698</v>
      </c>
      <c r="AH59">
        <v>5385</v>
      </c>
      <c r="AI59">
        <v>21313</v>
      </c>
      <c r="AJ59">
        <v>4</v>
      </c>
      <c r="AK59">
        <v>688</v>
      </c>
      <c r="AL59">
        <v>95</v>
      </c>
      <c r="AM59" t="s">
        <v>54</v>
      </c>
      <c r="AN59">
        <v>42</v>
      </c>
      <c r="AO59" t="s">
        <v>52</v>
      </c>
    </row>
    <row r="60" spans="1:41" x14ac:dyDescent="0.25">
      <c r="A60" s="2">
        <v>42429</v>
      </c>
      <c r="B60" s="1">
        <v>42429.899127476798</v>
      </c>
      <c r="C60" t="s">
        <v>50</v>
      </c>
      <c r="D60">
        <v>27527</v>
      </c>
      <c r="E60">
        <v>0</v>
      </c>
      <c r="F60">
        <v>571</v>
      </c>
      <c r="I60">
        <v>38</v>
      </c>
      <c r="J60">
        <v>90</v>
      </c>
      <c r="K60">
        <v>51</v>
      </c>
      <c r="L60">
        <v>0</v>
      </c>
      <c r="AE60" s="3">
        <v>42430.212882789398</v>
      </c>
      <c r="AF60">
        <v>2065</v>
      </c>
      <c r="AG60">
        <v>25462</v>
      </c>
      <c r="AH60">
        <v>2482</v>
      </c>
      <c r="AI60">
        <v>22980</v>
      </c>
      <c r="AJ60">
        <v>4</v>
      </c>
      <c r="AK60">
        <v>209</v>
      </c>
      <c r="AL60">
        <v>94</v>
      </c>
      <c r="AN60">
        <v>41</v>
      </c>
      <c r="AO60" t="s">
        <v>55</v>
      </c>
    </row>
    <row r="61" spans="1:41" x14ac:dyDescent="0.25">
      <c r="A61" s="2">
        <v>42430</v>
      </c>
      <c r="B61" s="1">
        <v>42430.921356817104</v>
      </c>
      <c r="C61" t="s">
        <v>50</v>
      </c>
      <c r="D61">
        <v>26717</v>
      </c>
      <c r="E61">
        <v>0</v>
      </c>
      <c r="F61">
        <v>542</v>
      </c>
      <c r="I61">
        <v>40</v>
      </c>
      <c r="J61">
        <v>76</v>
      </c>
      <c r="K61">
        <v>49</v>
      </c>
      <c r="L61">
        <v>0</v>
      </c>
      <c r="AE61" s="3">
        <v>42431.226081597197</v>
      </c>
      <c r="AF61">
        <v>4223</v>
      </c>
      <c r="AG61">
        <v>22494</v>
      </c>
      <c r="AH61">
        <v>5899</v>
      </c>
      <c r="AI61">
        <v>16595</v>
      </c>
      <c r="AJ61">
        <v>7</v>
      </c>
      <c r="AK61">
        <v>599</v>
      </c>
      <c r="AL61">
        <v>87</v>
      </c>
      <c r="AM61" t="s">
        <v>51</v>
      </c>
      <c r="AN61">
        <v>43</v>
      </c>
      <c r="AO61" t="s">
        <v>52</v>
      </c>
    </row>
    <row r="62" spans="1:41" x14ac:dyDescent="0.25">
      <c r="A62" s="2">
        <v>42431</v>
      </c>
      <c r="B62" s="1">
        <v>42431.913784467601</v>
      </c>
      <c r="C62" t="s">
        <v>50</v>
      </c>
      <c r="D62">
        <v>28082</v>
      </c>
      <c r="E62">
        <v>0</v>
      </c>
      <c r="F62">
        <v>571</v>
      </c>
      <c r="I62">
        <v>40</v>
      </c>
      <c r="J62">
        <v>81</v>
      </c>
      <c r="K62">
        <v>48</v>
      </c>
      <c r="L62">
        <v>0</v>
      </c>
      <c r="AE62" s="3">
        <v>42432.224590856502</v>
      </c>
      <c r="AF62">
        <v>3806</v>
      </c>
      <c r="AG62">
        <v>24276</v>
      </c>
      <c r="AH62">
        <v>4554</v>
      </c>
      <c r="AI62">
        <v>19722</v>
      </c>
      <c r="AJ62">
        <v>6</v>
      </c>
      <c r="AK62">
        <v>569</v>
      </c>
      <c r="AL62">
        <v>92</v>
      </c>
      <c r="AM62" t="s">
        <v>51</v>
      </c>
      <c r="AN62">
        <v>42</v>
      </c>
      <c r="AO62" t="s">
        <v>52</v>
      </c>
    </row>
    <row r="63" spans="1:41" x14ac:dyDescent="0.25">
      <c r="A63" s="2">
        <v>42432</v>
      </c>
      <c r="B63" s="1">
        <v>42432.925728113398</v>
      </c>
      <c r="C63" t="s">
        <v>50</v>
      </c>
      <c r="D63">
        <v>27299</v>
      </c>
      <c r="E63">
        <v>0</v>
      </c>
      <c r="F63">
        <v>560</v>
      </c>
      <c r="I63">
        <v>40</v>
      </c>
      <c r="J63">
        <v>89</v>
      </c>
      <c r="K63">
        <v>50</v>
      </c>
      <c r="L63">
        <v>0</v>
      </c>
      <c r="AE63" s="3">
        <v>42433.239962013897</v>
      </c>
      <c r="AF63">
        <v>3955</v>
      </c>
      <c r="AG63">
        <v>23344</v>
      </c>
      <c r="AH63">
        <v>3384</v>
      </c>
      <c r="AI63">
        <v>19960</v>
      </c>
      <c r="AJ63">
        <v>9</v>
      </c>
      <c r="AK63">
        <v>389</v>
      </c>
      <c r="AL63">
        <v>87</v>
      </c>
      <c r="AM63" t="s">
        <v>51</v>
      </c>
      <c r="AN63">
        <v>44</v>
      </c>
      <c r="AO63" t="s">
        <v>52</v>
      </c>
    </row>
    <row r="64" spans="1:41" x14ac:dyDescent="0.25">
      <c r="A64" s="2">
        <v>42433</v>
      </c>
      <c r="B64" s="1">
        <v>42433.958365497703</v>
      </c>
      <c r="C64" t="s">
        <v>50</v>
      </c>
      <c r="D64">
        <v>21987</v>
      </c>
      <c r="E64">
        <v>0</v>
      </c>
      <c r="F64">
        <v>444</v>
      </c>
      <c r="I64">
        <v>39</v>
      </c>
      <c r="J64">
        <v>73</v>
      </c>
      <c r="K64">
        <v>50</v>
      </c>
      <c r="L64">
        <v>0</v>
      </c>
      <c r="AE64" s="3">
        <v>42434.2052367824</v>
      </c>
      <c r="AF64">
        <v>2572</v>
      </c>
      <c r="AG64">
        <v>19415</v>
      </c>
      <c r="AH64">
        <v>4815</v>
      </c>
      <c r="AI64">
        <v>14600</v>
      </c>
      <c r="AJ64">
        <v>3</v>
      </c>
      <c r="AK64">
        <v>568</v>
      </c>
      <c r="AL64">
        <v>93</v>
      </c>
      <c r="AN64">
        <v>44</v>
      </c>
      <c r="AO64" t="s">
        <v>55</v>
      </c>
    </row>
    <row r="65" spans="1:41" x14ac:dyDescent="0.25">
      <c r="A65" s="2">
        <v>42436</v>
      </c>
      <c r="B65" s="1">
        <v>42436.9017280556</v>
      </c>
      <c r="C65" t="s">
        <v>50</v>
      </c>
      <c r="D65">
        <v>29126</v>
      </c>
      <c r="E65">
        <v>0</v>
      </c>
      <c r="F65">
        <v>597</v>
      </c>
      <c r="I65">
        <v>39</v>
      </c>
      <c r="J65">
        <v>86</v>
      </c>
      <c r="K65">
        <v>50</v>
      </c>
      <c r="L65">
        <v>0</v>
      </c>
      <c r="AE65" s="3">
        <v>42437.237102604202</v>
      </c>
      <c r="AF65">
        <v>2125</v>
      </c>
      <c r="AG65">
        <v>27000</v>
      </c>
      <c r="AH65">
        <v>1406</v>
      </c>
      <c r="AI65">
        <v>25594</v>
      </c>
      <c r="AJ65">
        <v>2</v>
      </c>
      <c r="AK65">
        <v>718</v>
      </c>
      <c r="AL65">
        <v>95</v>
      </c>
      <c r="AM65" t="s">
        <v>51</v>
      </c>
      <c r="AN65">
        <v>43</v>
      </c>
      <c r="AO65" t="s">
        <v>52</v>
      </c>
    </row>
    <row r="66" spans="1:41" x14ac:dyDescent="0.25">
      <c r="A66" s="2">
        <v>42437</v>
      </c>
      <c r="B66" s="1">
        <v>42437.929028113402</v>
      </c>
      <c r="C66" t="s">
        <v>50</v>
      </c>
      <c r="D66">
        <v>25384</v>
      </c>
      <c r="E66">
        <v>0</v>
      </c>
      <c r="F66">
        <v>513</v>
      </c>
      <c r="I66">
        <v>38</v>
      </c>
      <c r="J66">
        <v>80</v>
      </c>
      <c r="K66">
        <v>49</v>
      </c>
      <c r="L66">
        <v>0</v>
      </c>
      <c r="AE66" s="3">
        <v>42438.2211012732</v>
      </c>
      <c r="AF66">
        <v>4789</v>
      </c>
      <c r="AG66">
        <v>20595</v>
      </c>
      <c r="AH66">
        <v>3650</v>
      </c>
      <c r="AI66">
        <v>16945</v>
      </c>
      <c r="AJ66">
        <v>6</v>
      </c>
      <c r="AK66">
        <v>628</v>
      </c>
      <c r="AL66">
        <v>83</v>
      </c>
      <c r="AM66" t="s">
        <v>51</v>
      </c>
      <c r="AN66">
        <v>40</v>
      </c>
      <c r="AO66" t="s">
        <v>52</v>
      </c>
    </row>
    <row r="67" spans="1:41" x14ac:dyDescent="0.25">
      <c r="A67" s="2">
        <v>42438</v>
      </c>
      <c r="B67" s="1">
        <v>42438.899432338003</v>
      </c>
      <c r="C67" t="s">
        <v>50</v>
      </c>
      <c r="D67">
        <v>29168</v>
      </c>
      <c r="E67">
        <v>0</v>
      </c>
      <c r="F67">
        <v>597</v>
      </c>
      <c r="I67">
        <v>39</v>
      </c>
      <c r="J67">
        <v>83</v>
      </c>
      <c r="K67">
        <v>49</v>
      </c>
      <c r="L67">
        <v>0</v>
      </c>
      <c r="AE67" s="3">
        <v>42439.226289131897</v>
      </c>
      <c r="AF67">
        <v>4821</v>
      </c>
      <c r="AG67">
        <v>24347</v>
      </c>
      <c r="AH67">
        <v>2245</v>
      </c>
      <c r="AI67">
        <v>22102</v>
      </c>
      <c r="AJ67">
        <v>8</v>
      </c>
      <c r="AK67">
        <v>778</v>
      </c>
      <c r="AL67">
        <v>88</v>
      </c>
      <c r="AM67" t="s">
        <v>51</v>
      </c>
      <c r="AN67">
        <v>42</v>
      </c>
      <c r="AO67" t="s">
        <v>52</v>
      </c>
    </row>
    <row r="68" spans="1:41" x14ac:dyDescent="0.25">
      <c r="A68" s="2">
        <v>42439</v>
      </c>
      <c r="B68" s="1">
        <v>42439.915675300901</v>
      </c>
      <c r="C68" t="s">
        <v>50</v>
      </c>
      <c r="D68">
        <v>22207</v>
      </c>
      <c r="E68">
        <v>0</v>
      </c>
      <c r="F68">
        <v>458</v>
      </c>
      <c r="I68">
        <v>40</v>
      </c>
      <c r="J68">
        <v>79</v>
      </c>
      <c r="K68">
        <v>50</v>
      </c>
      <c r="L68">
        <v>0</v>
      </c>
      <c r="AE68" s="3">
        <v>42440.144259085602</v>
      </c>
      <c r="AF68">
        <v>8361</v>
      </c>
      <c r="AG68">
        <v>13845</v>
      </c>
      <c r="AH68">
        <v>1648</v>
      </c>
      <c r="AI68">
        <v>12197</v>
      </c>
      <c r="AJ68">
        <v>6</v>
      </c>
      <c r="AK68">
        <v>809</v>
      </c>
      <c r="AL68">
        <v>72</v>
      </c>
      <c r="AM68" t="s">
        <v>51</v>
      </c>
      <c r="AN68">
        <v>42</v>
      </c>
      <c r="AO68" t="s">
        <v>52</v>
      </c>
    </row>
    <row r="69" spans="1:41" x14ac:dyDescent="0.25">
      <c r="A69" s="2">
        <v>42440</v>
      </c>
      <c r="B69" s="1">
        <v>42440.918899432902</v>
      </c>
      <c r="C69" t="s">
        <v>50</v>
      </c>
      <c r="D69">
        <v>26508</v>
      </c>
      <c r="E69">
        <v>0</v>
      </c>
      <c r="F69">
        <v>539</v>
      </c>
      <c r="I69">
        <v>40</v>
      </c>
      <c r="J69">
        <v>69</v>
      </c>
      <c r="K69">
        <v>48</v>
      </c>
      <c r="L69">
        <v>0</v>
      </c>
      <c r="AE69" s="3">
        <v>42441.221904166698</v>
      </c>
      <c r="AF69">
        <v>2094</v>
      </c>
      <c r="AG69">
        <v>24414</v>
      </c>
      <c r="AH69">
        <v>3917</v>
      </c>
      <c r="AI69">
        <v>20497</v>
      </c>
      <c r="AJ69">
        <v>3</v>
      </c>
      <c r="AK69">
        <v>209</v>
      </c>
      <c r="AL69">
        <v>93</v>
      </c>
      <c r="AN69">
        <v>43</v>
      </c>
      <c r="AO69" t="s">
        <v>55</v>
      </c>
    </row>
    <row r="70" spans="1:41" x14ac:dyDescent="0.25">
      <c r="A70" s="2">
        <v>42441</v>
      </c>
      <c r="B70" s="1">
        <v>42441.980968668999</v>
      </c>
      <c r="C70" t="s">
        <v>50</v>
      </c>
      <c r="D70">
        <v>24367</v>
      </c>
      <c r="E70">
        <v>0</v>
      </c>
      <c r="F70">
        <v>499</v>
      </c>
      <c r="I70">
        <v>39</v>
      </c>
      <c r="J70">
        <v>81</v>
      </c>
      <c r="K70">
        <v>51</v>
      </c>
      <c r="L70">
        <v>0</v>
      </c>
      <c r="AE70" s="3">
        <v>42442.2994720602</v>
      </c>
      <c r="AF70">
        <v>2305</v>
      </c>
      <c r="AG70">
        <v>22062</v>
      </c>
      <c r="AH70">
        <v>2304</v>
      </c>
      <c r="AI70">
        <v>19758</v>
      </c>
      <c r="AJ70">
        <v>4</v>
      </c>
      <c r="AK70">
        <v>688</v>
      </c>
      <c r="AL70">
        <v>94</v>
      </c>
      <c r="AM70" t="s">
        <v>51</v>
      </c>
      <c r="AN70">
        <v>43</v>
      </c>
      <c r="AO70" t="s">
        <v>52</v>
      </c>
    </row>
    <row r="71" spans="1:41" x14ac:dyDescent="0.25">
      <c r="A71" s="2">
        <v>42442</v>
      </c>
      <c r="B71" s="1">
        <v>42442.922015254597</v>
      </c>
      <c r="C71" t="s">
        <v>50</v>
      </c>
      <c r="D71">
        <v>28355</v>
      </c>
      <c r="E71">
        <v>0</v>
      </c>
      <c r="F71">
        <v>578</v>
      </c>
      <c r="I71">
        <v>37</v>
      </c>
      <c r="J71">
        <v>72</v>
      </c>
      <c r="K71">
        <v>49</v>
      </c>
      <c r="L71">
        <v>0</v>
      </c>
      <c r="AE71" s="3">
        <v>42443.242574351898</v>
      </c>
      <c r="AF71">
        <v>3682</v>
      </c>
      <c r="AG71">
        <v>24672</v>
      </c>
      <c r="AH71">
        <v>6255</v>
      </c>
      <c r="AI71">
        <v>18417</v>
      </c>
      <c r="AJ71">
        <v>6</v>
      </c>
      <c r="AK71">
        <v>538</v>
      </c>
      <c r="AL71">
        <v>90</v>
      </c>
      <c r="AM71" t="s">
        <v>51</v>
      </c>
      <c r="AN71">
        <v>41</v>
      </c>
      <c r="AO71" t="s">
        <v>52</v>
      </c>
    </row>
    <row r="72" spans="1:41" x14ac:dyDescent="0.25">
      <c r="A72" s="2">
        <v>42445</v>
      </c>
      <c r="B72" s="1">
        <v>42445.919837164402</v>
      </c>
      <c r="C72" t="s">
        <v>50</v>
      </c>
      <c r="D72">
        <v>24768</v>
      </c>
      <c r="E72">
        <v>0</v>
      </c>
      <c r="F72">
        <v>503</v>
      </c>
      <c r="I72">
        <v>38</v>
      </c>
      <c r="J72">
        <v>80</v>
      </c>
      <c r="K72">
        <v>48</v>
      </c>
      <c r="L72">
        <v>0</v>
      </c>
      <c r="AE72" s="3">
        <v>42446.204778506901</v>
      </c>
      <c r="AF72">
        <v>4617</v>
      </c>
      <c r="AG72">
        <v>20150</v>
      </c>
      <c r="AH72">
        <v>5845</v>
      </c>
      <c r="AI72">
        <v>14305</v>
      </c>
      <c r="AJ72">
        <v>7</v>
      </c>
      <c r="AK72">
        <v>509</v>
      </c>
      <c r="AL72">
        <v>83</v>
      </c>
      <c r="AM72" t="s">
        <v>51</v>
      </c>
      <c r="AN72">
        <v>41</v>
      </c>
      <c r="AO72" t="s">
        <v>52</v>
      </c>
    </row>
    <row r="73" spans="1:41" x14ac:dyDescent="0.25">
      <c r="A73" s="2">
        <v>42446</v>
      </c>
      <c r="B73" s="1">
        <v>42446.935804398097</v>
      </c>
      <c r="C73" t="s">
        <v>50</v>
      </c>
      <c r="D73">
        <v>26620</v>
      </c>
      <c r="E73">
        <v>0</v>
      </c>
      <c r="F73">
        <v>537</v>
      </c>
      <c r="I73">
        <v>35</v>
      </c>
      <c r="J73">
        <v>100</v>
      </c>
      <c r="K73">
        <v>48</v>
      </c>
      <c r="L73">
        <v>0</v>
      </c>
      <c r="AE73" s="3">
        <v>42447.233863518501</v>
      </c>
      <c r="AF73">
        <v>3713</v>
      </c>
      <c r="AG73">
        <v>22907</v>
      </c>
      <c r="AH73">
        <v>3801</v>
      </c>
      <c r="AI73">
        <v>19106</v>
      </c>
      <c r="AJ73">
        <v>8</v>
      </c>
      <c r="AK73">
        <v>479</v>
      </c>
      <c r="AL73">
        <v>90</v>
      </c>
      <c r="AM73" t="s">
        <v>51</v>
      </c>
      <c r="AN73">
        <v>41</v>
      </c>
      <c r="AO73" t="s">
        <v>52</v>
      </c>
    </row>
    <row r="74" spans="1:41" x14ac:dyDescent="0.25">
      <c r="A74" s="2">
        <v>42447</v>
      </c>
      <c r="B74" s="1">
        <v>42447.976085706003</v>
      </c>
      <c r="C74" t="s">
        <v>50</v>
      </c>
      <c r="D74">
        <v>25616</v>
      </c>
      <c r="E74">
        <v>0</v>
      </c>
      <c r="F74">
        <v>521</v>
      </c>
      <c r="I74">
        <v>41</v>
      </c>
      <c r="J74">
        <v>84</v>
      </c>
      <c r="K74">
        <v>54</v>
      </c>
      <c r="L74">
        <v>0</v>
      </c>
      <c r="AE74" s="3">
        <v>42448.261827025497</v>
      </c>
      <c r="AF74">
        <v>4224</v>
      </c>
      <c r="AG74">
        <v>21392</v>
      </c>
      <c r="AH74">
        <v>3055</v>
      </c>
      <c r="AI74">
        <v>18337</v>
      </c>
      <c r="AJ74">
        <v>7</v>
      </c>
      <c r="AK74">
        <v>539</v>
      </c>
      <c r="AL74">
        <v>88</v>
      </c>
      <c r="AM74" t="s">
        <v>51</v>
      </c>
      <c r="AN74">
        <v>46</v>
      </c>
      <c r="AO74" t="s">
        <v>52</v>
      </c>
    </row>
    <row r="75" spans="1:41" x14ac:dyDescent="0.25">
      <c r="A75" s="2">
        <v>42449</v>
      </c>
      <c r="B75" s="1">
        <v>42449.944375821797</v>
      </c>
      <c r="C75" t="s">
        <v>50</v>
      </c>
      <c r="D75">
        <v>27018</v>
      </c>
      <c r="E75">
        <v>0</v>
      </c>
      <c r="F75">
        <v>550</v>
      </c>
      <c r="I75">
        <v>42</v>
      </c>
      <c r="J75">
        <v>88</v>
      </c>
      <c r="K75">
        <v>50</v>
      </c>
      <c r="L75">
        <v>0</v>
      </c>
      <c r="AE75" s="3">
        <v>42450.255358993098</v>
      </c>
      <c r="AF75">
        <v>3172</v>
      </c>
      <c r="AG75">
        <v>23846</v>
      </c>
      <c r="AH75">
        <v>1196</v>
      </c>
      <c r="AI75">
        <v>22650</v>
      </c>
      <c r="AJ75">
        <v>7</v>
      </c>
      <c r="AK75">
        <v>209</v>
      </c>
      <c r="AL75">
        <v>89</v>
      </c>
      <c r="AN75">
        <v>45</v>
      </c>
      <c r="AO75" t="s">
        <v>55</v>
      </c>
    </row>
    <row r="76" spans="1:41" x14ac:dyDescent="0.25">
      <c r="A76" s="2">
        <v>42450</v>
      </c>
      <c r="B76" s="1">
        <v>42450.895623356497</v>
      </c>
      <c r="C76" t="s">
        <v>50</v>
      </c>
      <c r="D76">
        <v>27916</v>
      </c>
      <c r="E76">
        <v>0</v>
      </c>
      <c r="F76">
        <v>567</v>
      </c>
      <c r="I76">
        <v>42</v>
      </c>
      <c r="J76">
        <v>75</v>
      </c>
      <c r="K76">
        <v>50</v>
      </c>
      <c r="L76">
        <v>0</v>
      </c>
      <c r="AE76" s="3">
        <v>42451.217000625002</v>
      </c>
      <c r="AF76">
        <v>2184</v>
      </c>
      <c r="AG76">
        <v>25732</v>
      </c>
      <c r="AH76">
        <v>2034</v>
      </c>
      <c r="AI76">
        <v>23698</v>
      </c>
      <c r="AJ76">
        <v>4</v>
      </c>
      <c r="AK76">
        <v>508</v>
      </c>
      <c r="AL76">
        <v>94</v>
      </c>
      <c r="AN76">
        <v>43</v>
      </c>
      <c r="AO76" t="s">
        <v>55</v>
      </c>
    </row>
    <row r="77" spans="1:41" x14ac:dyDescent="0.25">
      <c r="A77" s="2">
        <v>42451</v>
      </c>
      <c r="B77" s="1">
        <v>42451.9613320602</v>
      </c>
      <c r="C77" t="s">
        <v>50</v>
      </c>
      <c r="D77">
        <v>25251</v>
      </c>
      <c r="E77">
        <v>0</v>
      </c>
      <c r="F77">
        <v>513</v>
      </c>
      <c r="I77">
        <v>39</v>
      </c>
      <c r="J77">
        <v>71</v>
      </c>
      <c r="K77">
        <v>48</v>
      </c>
      <c r="L77">
        <v>0</v>
      </c>
      <c r="AE77" s="3">
        <v>42452.251862870398</v>
      </c>
      <c r="AF77">
        <v>3052</v>
      </c>
      <c r="AG77">
        <v>22199</v>
      </c>
      <c r="AH77">
        <v>1495</v>
      </c>
      <c r="AI77">
        <v>20704</v>
      </c>
      <c r="AJ77">
        <v>6</v>
      </c>
      <c r="AK77">
        <v>209</v>
      </c>
      <c r="AL77">
        <v>89</v>
      </c>
      <c r="AN77">
        <v>42</v>
      </c>
      <c r="AO77" t="s">
        <v>55</v>
      </c>
    </row>
    <row r="78" spans="1:41" x14ac:dyDescent="0.25">
      <c r="A78" s="2">
        <v>42452</v>
      </c>
      <c r="B78" s="1">
        <v>42452.934546608798</v>
      </c>
      <c r="C78" t="s">
        <v>50</v>
      </c>
      <c r="D78">
        <v>26953</v>
      </c>
      <c r="E78">
        <v>0</v>
      </c>
      <c r="F78">
        <v>549</v>
      </c>
      <c r="I78">
        <v>39</v>
      </c>
      <c r="J78">
        <v>80</v>
      </c>
      <c r="K78">
        <v>48</v>
      </c>
      <c r="L78">
        <v>0</v>
      </c>
      <c r="AE78" s="3">
        <v>42453.229520370398</v>
      </c>
      <c r="AF78">
        <v>6768</v>
      </c>
      <c r="AG78">
        <v>20184</v>
      </c>
      <c r="AH78">
        <v>0</v>
      </c>
      <c r="AI78">
        <v>20184</v>
      </c>
      <c r="AJ78">
        <v>10</v>
      </c>
      <c r="AK78">
        <v>718</v>
      </c>
      <c r="AL78">
        <v>81</v>
      </c>
      <c r="AM78" t="s">
        <v>51</v>
      </c>
      <c r="AN78">
        <v>41</v>
      </c>
      <c r="AO78" t="s">
        <v>52</v>
      </c>
    </row>
    <row r="79" spans="1:41" x14ac:dyDescent="0.25">
      <c r="A79" s="2">
        <v>42453</v>
      </c>
      <c r="B79" s="1">
        <v>42453.947358171303</v>
      </c>
      <c r="C79" t="s">
        <v>50</v>
      </c>
      <c r="D79">
        <v>24998</v>
      </c>
      <c r="E79">
        <v>0</v>
      </c>
      <c r="F79">
        <v>513</v>
      </c>
      <c r="I79">
        <v>41</v>
      </c>
      <c r="J79">
        <v>90</v>
      </c>
      <c r="K79">
        <v>50</v>
      </c>
      <c r="L79">
        <v>0</v>
      </c>
      <c r="AE79" s="3">
        <v>42454.214857696803</v>
      </c>
      <c r="AF79">
        <v>5897</v>
      </c>
      <c r="AG79">
        <v>19100</v>
      </c>
      <c r="AH79">
        <v>6374</v>
      </c>
      <c r="AI79">
        <v>12726</v>
      </c>
      <c r="AJ79">
        <v>6</v>
      </c>
      <c r="AK79">
        <v>568</v>
      </c>
      <c r="AL79">
        <v>84</v>
      </c>
      <c r="AM79" t="s">
        <v>51</v>
      </c>
      <c r="AN79">
        <v>43</v>
      </c>
      <c r="AO79" t="s">
        <v>52</v>
      </c>
    </row>
    <row r="80" spans="1:41" x14ac:dyDescent="0.25">
      <c r="A80" s="2">
        <v>42454</v>
      </c>
      <c r="B80" s="1">
        <v>42454.918418935202</v>
      </c>
      <c r="C80" t="s">
        <v>50</v>
      </c>
      <c r="D80">
        <v>28084</v>
      </c>
      <c r="E80">
        <v>0</v>
      </c>
      <c r="F80">
        <v>573</v>
      </c>
      <c r="I80">
        <v>37</v>
      </c>
      <c r="J80">
        <v>93</v>
      </c>
      <c r="K80">
        <v>49</v>
      </c>
      <c r="L80">
        <v>0</v>
      </c>
      <c r="AE80" s="3">
        <v>42455.221990324098</v>
      </c>
      <c r="AF80">
        <v>6377</v>
      </c>
      <c r="AG80">
        <v>21707</v>
      </c>
      <c r="AH80">
        <v>1317</v>
      </c>
      <c r="AI80">
        <v>20390</v>
      </c>
      <c r="AJ80">
        <v>7</v>
      </c>
      <c r="AK80">
        <v>658</v>
      </c>
      <c r="AL80">
        <v>84</v>
      </c>
      <c r="AM80" t="s">
        <v>51</v>
      </c>
      <c r="AN80">
        <v>40</v>
      </c>
      <c r="AO80" t="s">
        <v>52</v>
      </c>
    </row>
    <row r="81" spans="1:41" x14ac:dyDescent="0.25">
      <c r="A81" s="2">
        <v>42455</v>
      </c>
      <c r="B81" s="1">
        <v>42455.923535497699</v>
      </c>
      <c r="C81" t="s">
        <v>50</v>
      </c>
      <c r="D81">
        <v>27624</v>
      </c>
      <c r="E81">
        <v>0</v>
      </c>
      <c r="F81">
        <v>563</v>
      </c>
      <c r="I81">
        <v>39</v>
      </c>
      <c r="J81">
        <v>79</v>
      </c>
      <c r="K81">
        <v>49</v>
      </c>
      <c r="L81">
        <v>0</v>
      </c>
      <c r="AE81" s="3">
        <v>42456.235291805599</v>
      </c>
      <c r="AF81">
        <v>6314</v>
      </c>
      <c r="AG81">
        <v>21309</v>
      </c>
      <c r="AH81">
        <v>3141</v>
      </c>
      <c r="AI81">
        <v>18168</v>
      </c>
      <c r="AJ81">
        <v>9</v>
      </c>
      <c r="AK81">
        <v>598</v>
      </c>
      <c r="AL81">
        <v>80</v>
      </c>
      <c r="AM81" t="s">
        <v>51</v>
      </c>
      <c r="AN81">
        <v>42</v>
      </c>
      <c r="AO81" t="s">
        <v>52</v>
      </c>
    </row>
    <row r="82" spans="1:41" x14ac:dyDescent="0.25">
      <c r="A82" s="2">
        <v>42456</v>
      </c>
      <c r="B82" s="1">
        <v>42456.927563391197</v>
      </c>
      <c r="C82" t="s">
        <v>50</v>
      </c>
      <c r="D82">
        <v>29264</v>
      </c>
      <c r="E82">
        <v>0</v>
      </c>
      <c r="F82">
        <v>598</v>
      </c>
      <c r="I82">
        <v>40</v>
      </c>
      <c r="J82">
        <v>67</v>
      </c>
      <c r="K82">
        <v>49</v>
      </c>
      <c r="L82">
        <v>0</v>
      </c>
      <c r="AE82" s="3">
        <v>42457.264540810203</v>
      </c>
      <c r="AF82">
        <v>3441</v>
      </c>
      <c r="AG82">
        <v>25823</v>
      </c>
      <c r="AH82">
        <v>3320</v>
      </c>
      <c r="AI82">
        <v>22503</v>
      </c>
      <c r="AJ82">
        <v>10</v>
      </c>
      <c r="AK82">
        <v>209</v>
      </c>
      <c r="AL82">
        <v>89</v>
      </c>
      <c r="AN82">
        <v>43</v>
      </c>
      <c r="AO82" t="s">
        <v>55</v>
      </c>
    </row>
    <row r="83" spans="1:41" x14ac:dyDescent="0.25">
      <c r="A83" s="2">
        <v>42457</v>
      </c>
      <c r="B83" s="1">
        <v>42457.9047921991</v>
      </c>
      <c r="C83" t="s">
        <v>50</v>
      </c>
      <c r="D83">
        <v>27167</v>
      </c>
      <c r="E83">
        <v>0</v>
      </c>
      <c r="F83">
        <v>558</v>
      </c>
      <c r="I83">
        <v>35</v>
      </c>
      <c r="J83">
        <v>110</v>
      </c>
      <c r="K83">
        <v>51</v>
      </c>
      <c r="L83">
        <v>0</v>
      </c>
      <c r="AE83" s="3">
        <v>42458.210911412003</v>
      </c>
      <c r="AF83">
        <v>3953</v>
      </c>
      <c r="AG83">
        <v>23213</v>
      </c>
      <c r="AH83">
        <v>3953</v>
      </c>
      <c r="AI83">
        <v>19260</v>
      </c>
      <c r="AJ83">
        <v>6</v>
      </c>
      <c r="AK83">
        <v>958</v>
      </c>
      <c r="AL83">
        <v>90</v>
      </c>
      <c r="AM83" t="s">
        <v>51</v>
      </c>
      <c r="AN83">
        <v>43</v>
      </c>
      <c r="AO83" t="s">
        <v>52</v>
      </c>
    </row>
    <row r="84" spans="1:41" x14ac:dyDescent="0.25">
      <c r="A84" s="2">
        <v>42458</v>
      </c>
      <c r="B84" s="1">
        <v>42458.952318715303</v>
      </c>
      <c r="C84" t="s">
        <v>50</v>
      </c>
      <c r="D84">
        <v>25575</v>
      </c>
      <c r="E84">
        <v>0</v>
      </c>
      <c r="F84">
        <v>527</v>
      </c>
      <c r="I84">
        <v>42</v>
      </c>
      <c r="J84">
        <v>73</v>
      </c>
      <c r="K84">
        <v>51</v>
      </c>
      <c r="L84">
        <v>0</v>
      </c>
      <c r="AE84" s="3">
        <v>42459.241047430602</v>
      </c>
      <c r="AF84">
        <v>3863</v>
      </c>
      <c r="AG84">
        <v>21711</v>
      </c>
      <c r="AH84">
        <v>1048</v>
      </c>
      <c r="AI84">
        <v>20663</v>
      </c>
      <c r="AJ84">
        <v>9</v>
      </c>
      <c r="AK84">
        <v>658</v>
      </c>
      <c r="AL84">
        <v>89</v>
      </c>
      <c r="AM84" t="s">
        <v>51</v>
      </c>
      <c r="AN84">
        <v>44</v>
      </c>
      <c r="AO84" t="s">
        <v>52</v>
      </c>
    </row>
    <row r="85" spans="1:41" x14ac:dyDescent="0.25">
      <c r="A85" s="2">
        <v>42459</v>
      </c>
      <c r="B85" s="1">
        <v>42459.932256365697</v>
      </c>
      <c r="C85" t="s">
        <v>50</v>
      </c>
      <c r="D85">
        <v>26876</v>
      </c>
      <c r="E85">
        <v>0</v>
      </c>
      <c r="F85">
        <v>543</v>
      </c>
      <c r="I85">
        <v>39</v>
      </c>
      <c r="J85">
        <v>80</v>
      </c>
      <c r="K85">
        <v>48</v>
      </c>
      <c r="L85">
        <v>0</v>
      </c>
      <c r="AE85" s="3">
        <v>42460.241595995401</v>
      </c>
      <c r="AF85">
        <v>1945</v>
      </c>
      <c r="AG85">
        <v>24931</v>
      </c>
      <c r="AH85">
        <v>5027</v>
      </c>
      <c r="AI85">
        <v>19904</v>
      </c>
      <c r="AJ85">
        <v>4</v>
      </c>
      <c r="AK85">
        <v>568</v>
      </c>
      <c r="AL85">
        <v>95</v>
      </c>
      <c r="AM85" t="s">
        <v>51</v>
      </c>
      <c r="AN85">
        <v>41</v>
      </c>
      <c r="AO85" t="s">
        <v>52</v>
      </c>
    </row>
    <row r="86" spans="1:41" x14ac:dyDescent="0.25">
      <c r="A86" s="2">
        <v>42460</v>
      </c>
      <c r="B86" s="1">
        <v>42460.946081099501</v>
      </c>
      <c r="C86" t="s">
        <v>50</v>
      </c>
      <c r="D86">
        <v>24815</v>
      </c>
      <c r="E86">
        <v>0</v>
      </c>
      <c r="F86">
        <v>506</v>
      </c>
      <c r="I86">
        <v>42</v>
      </c>
      <c r="J86">
        <v>103</v>
      </c>
      <c r="K86">
        <v>50</v>
      </c>
      <c r="L86">
        <v>0</v>
      </c>
      <c r="AE86" s="3">
        <v>42461.2114494329</v>
      </c>
      <c r="AF86">
        <v>4885</v>
      </c>
      <c r="AG86">
        <v>19930</v>
      </c>
      <c r="AH86">
        <v>3116</v>
      </c>
      <c r="AI86">
        <v>16814</v>
      </c>
      <c r="AJ86">
        <v>6</v>
      </c>
      <c r="AK86">
        <v>539</v>
      </c>
      <c r="AL86">
        <v>88</v>
      </c>
      <c r="AM86" t="s">
        <v>51</v>
      </c>
      <c r="AN86">
        <v>44</v>
      </c>
      <c r="AO86" t="s">
        <v>52</v>
      </c>
    </row>
    <row r="87" spans="1:41" x14ac:dyDescent="0.25">
      <c r="A87" s="2">
        <v>42461</v>
      </c>
      <c r="B87" s="1">
        <v>42461.919844374999</v>
      </c>
      <c r="C87" t="s">
        <v>50</v>
      </c>
      <c r="D87">
        <v>27947</v>
      </c>
      <c r="E87">
        <v>0</v>
      </c>
      <c r="F87">
        <v>577</v>
      </c>
      <c r="I87">
        <v>38</v>
      </c>
      <c r="J87">
        <v>80</v>
      </c>
      <c r="K87">
        <v>50</v>
      </c>
      <c r="L87">
        <v>0</v>
      </c>
      <c r="AE87" s="3">
        <v>42462.237419467601</v>
      </c>
      <c r="AF87">
        <v>3860</v>
      </c>
      <c r="AG87">
        <v>24087</v>
      </c>
      <c r="AH87">
        <v>1585</v>
      </c>
      <c r="AI87">
        <v>22502</v>
      </c>
      <c r="AJ87">
        <v>5</v>
      </c>
      <c r="AK87">
        <v>209</v>
      </c>
      <c r="AL87">
        <v>88</v>
      </c>
      <c r="AN87">
        <v>42</v>
      </c>
      <c r="AO87" t="s">
        <v>55</v>
      </c>
    </row>
    <row r="88" spans="1:41" x14ac:dyDescent="0.25">
      <c r="A88" s="2">
        <v>42462</v>
      </c>
      <c r="B88" s="1">
        <v>42462.949813344901</v>
      </c>
      <c r="C88" t="s">
        <v>50</v>
      </c>
      <c r="D88">
        <v>27206</v>
      </c>
      <c r="E88">
        <v>0</v>
      </c>
      <c r="F88">
        <v>542</v>
      </c>
      <c r="I88">
        <v>39</v>
      </c>
      <c r="J88">
        <v>80</v>
      </c>
      <c r="K88">
        <v>51</v>
      </c>
      <c r="L88">
        <v>0</v>
      </c>
      <c r="AE88" s="3">
        <v>42463.262967789298</v>
      </c>
      <c r="AF88">
        <v>4519</v>
      </c>
      <c r="AG88">
        <v>22686</v>
      </c>
      <c r="AH88">
        <v>2184</v>
      </c>
      <c r="AI88">
        <v>20502</v>
      </c>
      <c r="AJ88">
        <v>6</v>
      </c>
      <c r="AK88">
        <v>598</v>
      </c>
      <c r="AL88">
        <v>85</v>
      </c>
      <c r="AM88" t="s">
        <v>51</v>
      </c>
      <c r="AN88">
        <v>44</v>
      </c>
      <c r="AO88" t="s">
        <v>52</v>
      </c>
    </row>
    <row r="89" spans="1:41" x14ac:dyDescent="0.25">
      <c r="A89" s="2">
        <v>42463</v>
      </c>
      <c r="B89" s="1">
        <v>42463.939935324102</v>
      </c>
      <c r="C89" t="s">
        <v>50</v>
      </c>
      <c r="D89">
        <v>26613</v>
      </c>
      <c r="E89">
        <v>0</v>
      </c>
      <c r="F89">
        <v>545</v>
      </c>
      <c r="I89">
        <v>40</v>
      </c>
      <c r="J89">
        <v>86</v>
      </c>
      <c r="K89">
        <v>50</v>
      </c>
      <c r="L89">
        <v>0</v>
      </c>
      <c r="AE89" s="3">
        <v>42464.242761469897</v>
      </c>
      <c r="AF89">
        <v>4975</v>
      </c>
      <c r="AG89">
        <v>21638</v>
      </c>
      <c r="AH89">
        <v>2427</v>
      </c>
      <c r="AI89">
        <v>19211</v>
      </c>
      <c r="AJ89">
        <v>8</v>
      </c>
      <c r="AK89">
        <v>629</v>
      </c>
      <c r="AL89">
        <v>84</v>
      </c>
      <c r="AM89" t="s">
        <v>51</v>
      </c>
      <c r="AN89">
        <v>43</v>
      </c>
      <c r="AO89" t="s">
        <v>52</v>
      </c>
    </row>
    <row r="90" spans="1:41" x14ac:dyDescent="0.25">
      <c r="A90" s="2">
        <v>42464</v>
      </c>
      <c r="B90" s="1">
        <v>42464.909046145804</v>
      </c>
      <c r="C90" t="s">
        <v>50</v>
      </c>
      <c r="D90">
        <v>27202</v>
      </c>
      <c r="E90">
        <v>0</v>
      </c>
      <c r="F90">
        <v>554</v>
      </c>
      <c r="I90">
        <v>38</v>
      </c>
      <c r="J90">
        <v>80</v>
      </c>
      <c r="K90">
        <v>48</v>
      </c>
      <c r="L90">
        <v>0</v>
      </c>
      <c r="AE90" s="3">
        <v>42465.219728391203</v>
      </c>
      <c r="AF90">
        <v>3804</v>
      </c>
      <c r="AG90">
        <v>23397</v>
      </c>
      <c r="AH90">
        <v>4402</v>
      </c>
      <c r="AI90">
        <v>18995</v>
      </c>
      <c r="AJ90">
        <v>8</v>
      </c>
      <c r="AK90">
        <v>479</v>
      </c>
      <c r="AL90">
        <v>88</v>
      </c>
      <c r="AM90" t="s">
        <v>51</v>
      </c>
      <c r="AN90">
        <v>42</v>
      </c>
      <c r="AO90" t="s">
        <v>52</v>
      </c>
    </row>
    <row r="91" spans="1:41" x14ac:dyDescent="0.25">
      <c r="A91" s="2">
        <v>42465</v>
      </c>
      <c r="B91" s="1">
        <v>42465.940569988401</v>
      </c>
      <c r="C91" t="s">
        <v>50</v>
      </c>
      <c r="D91">
        <v>26200</v>
      </c>
      <c r="E91">
        <v>0</v>
      </c>
      <c r="F91">
        <v>533</v>
      </c>
      <c r="I91">
        <v>37</v>
      </c>
      <c r="J91">
        <v>84</v>
      </c>
      <c r="K91">
        <v>48</v>
      </c>
      <c r="L91">
        <v>0</v>
      </c>
      <c r="AE91" s="3">
        <v>42466.242088819403</v>
      </c>
      <c r="AF91">
        <v>4012</v>
      </c>
      <c r="AG91">
        <v>22188</v>
      </c>
      <c r="AH91">
        <v>2095</v>
      </c>
      <c r="AI91">
        <v>20093</v>
      </c>
      <c r="AJ91">
        <v>6</v>
      </c>
      <c r="AK91">
        <v>928</v>
      </c>
      <c r="AL91">
        <v>88</v>
      </c>
      <c r="AM91" t="s">
        <v>51</v>
      </c>
      <c r="AN91">
        <v>41</v>
      </c>
      <c r="AO91" t="s">
        <v>52</v>
      </c>
    </row>
    <row r="92" spans="1:41" x14ac:dyDescent="0.25">
      <c r="A92" s="2">
        <v>42467</v>
      </c>
      <c r="B92" s="1">
        <v>42467.928125277802</v>
      </c>
      <c r="C92" t="s">
        <v>50</v>
      </c>
      <c r="D92">
        <v>26406</v>
      </c>
      <c r="E92">
        <v>0</v>
      </c>
      <c r="F92">
        <v>537</v>
      </c>
      <c r="I92">
        <v>38</v>
      </c>
      <c r="J92">
        <v>80</v>
      </c>
      <c r="K92">
        <v>48</v>
      </c>
      <c r="L92">
        <v>0</v>
      </c>
      <c r="AE92" s="3">
        <v>42468.215395347201</v>
      </c>
      <c r="AF92">
        <v>3023</v>
      </c>
      <c r="AG92">
        <v>23383</v>
      </c>
      <c r="AH92">
        <v>1916</v>
      </c>
      <c r="AI92">
        <v>21467</v>
      </c>
      <c r="AJ92">
        <v>2</v>
      </c>
      <c r="AK92">
        <v>1017</v>
      </c>
      <c r="AL92">
        <v>98</v>
      </c>
      <c r="AM92" t="s">
        <v>51</v>
      </c>
      <c r="AN92">
        <v>42</v>
      </c>
      <c r="AO92" t="s">
        <v>52</v>
      </c>
    </row>
    <row r="93" spans="1:41" x14ac:dyDescent="0.25">
      <c r="A93" s="2">
        <v>42468</v>
      </c>
      <c r="B93" s="1">
        <v>42468.936093483797</v>
      </c>
      <c r="C93" t="s">
        <v>50</v>
      </c>
      <c r="D93">
        <v>25891</v>
      </c>
      <c r="E93">
        <v>0</v>
      </c>
      <c r="F93">
        <v>528</v>
      </c>
      <c r="I93">
        <v>42</v>
      </c>
      <c r="J93">
        <v>78</v>
      </c>
      <c r="K93">
        <v>49</v>
      </c>
      <c r="L93">
        <v>0</v>
      </c>
      <c r="AE93" s="3">
        <v>42469.192757395802</v>
      </c>
      <c r="AF93">
        <v>6293</v>
      </c>
      <c r="AG93">
        <v>19598</v>
      </c>
      <c r="AH93">
        <v>2036</v>
      </c>
      <c r="AI93">
        <v>17562</v>
      </c>
      <c r="AJ93">
        <v>5</v>
      </c>
      <c r="AK93">
        <v>479</v>
      </c>
      <c r="AL93">
        <v>90</v>
      </c>
      <c r="AM93" t="s">
        <v>51</v>
      </c>
      <c r="AN93">
        <v>45</v>
      </c>
      <c r="AO93" t="s">
        <v>52</v>
      </c>
    </row>
    <row r="94" spans="1:41" x14ac:dyDescent="0.25">
      <c r="A94" s="2">
        <v>42469</v>
      </c>
      <c r="B94" s="1">
        <v>42469.980060891197</v>
      </c>
      <c r="C94" t="s">
        <v>50</v>
      </c>
      <c r="D94">
        <v>25496</v>
      </c>
      <c r="E94">
        <v>0</v>
      </c>
      <c r="F94">
        <v>524</v>
      </c>
      <c r="I94">
        <v>39</v>
      </c>
      <c r="J94">
        <v>80</v>
      </c>
      <c r="K94">
        <v>51</v>
      </c>
      <c r="L94">
        <v>0</v>
      </c>
      <c r="AE94" s="3">
        <v>42470.263714270797</v>
      </c>
      <c r="AF94">
        <v>3924</v>
      </c>
      <c r="AG94">
        <v>21571</v>
      </c>
      <c r="AH94">
        <v>0</v>
      </c>
      <c r="AI94">
        <v>21571</v>
      </c>
      <c r="AJ94">
        <v>7</v>
      </c>
      <c r="AK94">
        <v>479</v>
      </c>
      <c r="AL94">
        <v>89</v>
      </c>
      <c r="AM94" t="s">
        <v>51</v>
      </c>
      <c r="AN94">
        <v>42</v>
      </c>
      <c r="AO94" t="s">
        <v>52</v>
      </c>
    </row>
    <row r="95" spans="1:41" x14ac:dyDescent="0.25">
      <c r="A95" s="2">
        <v>42470</v>
      </c>
      <c r="B95" s="1">
        <v>42470.9370289699</v>
      </c>
      <c r="C95" t="s">
        <v>50</v>
      </c>
      <c r="D95">
        <v>26719</v>
      </c>
      <c r="E95">
        <v>0</v>
      </c>
      <c r="F95">
        <v>544</v>
      </c>
      <c r="I95">
        <v>40</v>
      </c>
      <c r="J95">
        <v>83</v>
      </c>
      <c r="K95">
        <v>49</v>
      </c>
      <c r="L95">
        <v>0</v>
      </c>
      <c r="AE95" s="3">
        <v>42471.2445503704</v>
      </c>
      <c r="AF95">
        <v>2935</v>
      </c>
      <c r="AG95">
        <v>23784</v>
      </c>
      <c r="AH95">
        <v>4701</v>
      </c>
      <c r="AI95">
        <v>19083</v>
      </c>
      <c r="AJ95">
        <v>5</v>
      </c>
      <c r="AK95">
        <v>479</v>
      </c>
      <c r="AL95">
        <v>91</v>
      </c>
      <c r="AM95" t="s">
        <v>51</v>
      </c>
      <c r="AN95">
        <v>43</v>
      </c>
      <c r="AO95" t="s">
        <v>52</v>
      </c>
    </row>
    <row r="96" spans="1:41" x14ac:dyDescent="0.25">
      <c r="A96" s="2">
        <v>42471</v>
      </c>
      <c r="B96" s="1">
        <v>42471.907352326401</v>
      </c>
      <c r="C96" t="s">
        <v>50</v>
      </c>
      <c r="D96">
        <v>27504</v>
      </c>
      <c r="E96">
        <v>0</v>
      </c>
      <c r="F96">
        <v>559</v>
      </c>
      <c r="I96">
        <v>38</v>
      </c>
      <c r="J96">
        <v>80</v>
      </c>
      <c r="K96">
        <v>48</v>
      </c>
      <c r="L96">
        <v>0</v>
      </c>
      <c r="AE96" s="3">
        <v>42472.223953923603</v>
      </c>
      <c r="AF96">
        <v>2936</v>
      </c>
      <c r="AG96">
        <v>24568</v>
      </c>
      <c r="AH96">
        <v>3026</v>
      </c>
      <c r="AI96">
        <v>21542</v>
      </c>
      <c r="AJ96">
        <v>7</v>
      </c>
      <c r="AK96">
        <v>299</v>
      </c>
      <c r="AL96">
        <v>90</v>
      </c>
      <c r="AM96" t="s">
        <v>51</v>
      </c>
      <c r="AN96">
        <v>41</v>
      </c>
      <c r="AO96" t="s">
        <v>52</v>
      </c>
    </row>
    <row r="97" spans="1:41" x14ac:dyDescent="0.25">
      <c r="A97" s="2">
        <v>42472</v>
      </c>
      <c r="B97" s="1">
        <v>42472.942731249997</v>
      </c>
      <c r="C97" t="s">
        <v>50</v>
      </c>
      <c r="D97">
        <v>26049</v>
      </c>
      <c r="E97">
        <v>0</v>
      </c>
      <c r="F97">
        <v>524</v>
      </c>
      <c r="I97">
        <v>40</v>
      </c>
      <c r="J97">
        <v>84</v>
      </c>
      <c r="K97">
        <v>51</v>
      </c>
      <c r="L97">
        <v>0</v>
      </c>
      <c r="AE97" s="3">
        <v>42473.233820914298</v>
      </c>
      <c r="AF97">
        <v>5185</v>
      </c>
      <c r="AG97">
        <v>20863</v>
      </c>
      <c r="AH97">
        <v>3986</v>
      </c>
      <c r="AI97">
        <v>16877</v>
      </c>
      <c r="AJ97">
        <v>10</v>
      </c>
      <c r="AK97">
        <v>539</v>
      </c>
      <c r="AL97">
        <v>84</v>
      </c>
      <c r="AM97" t="s">
        <v>51</v>
      </c>
      <c r="AN97">
        <v>42</v>
      </c>
      <c r="AO97" t="s">
        <v>52</v>
      </c>
    </row>
    <row r="98" spans="1:41" x14ac:dyDescent="0.25">
      <c r="A98" s="2">
        <v>42474</v>
      </c>
      <c r="B98" s="1">
        <v>42474.9152628472</v>
      </c>
      <c r="C98" t="s">
        <v>50</v>
      </c>
      <c r="D98">
        <v>27367</v>
      </c>
      <c r="E98">
        <v>0</v>
      </c>
      <c r="F98">
        <v>561</v>
      </c>
      <c r="I98">
        <v>40</v>
      </c>
      <c r="J98">
        <v>71</v>
      </c>
      <c r="K98">
        <v>49</v>
      </c>
      <c r="L98">
        <v>0</v>
      </c>
      <c r="AE98" s="3">
        <v>42475.230285775498</v>
      </c>
      <c r="AF98">
        <v>3682</v>
      </c>
      <c r="AG98">
        <v>23684</v>
      </c>
      <c r="AH98">
        <v>2005</v>
      </c>
      <c r="AI98">
        <v>21679</v>
      </c>
      <c r="AJ98">
        <v>6</v>
      </c>
      <c r="AK98">
        <v>808</v>
      </c>
      <c r="AL98">
        <v>89</v>
      </c>
      <c r="AM98" t="s">
        <v>51</v>
      </c>
      <c r="AN98">
        <v>43</v>
      </c>
      <c r="AO98" t="s">
        <v>52</v>
      </c>
    </row>
    <row r="99" spans="1:41" x14ac:dyDescent="0.25">
      <c r="A99" s="2">
        <v>42474</v>
      </c>
      <c r="B99" s="1">
        <v>42474.056227974499</v>
      </c>
      <c r="C99" t="s">
        <v>50</v>
      </c>
      <c r="D99">
        <v>15395</v>
      </c>
      <c r="E99">
        <v>0</v>
      </c>
      <c r="F99">
        <v>310</v>
      </c>
      <c r="I99">
        <v>43</v>
      </c>
      <c r="J99">
        <v>91</v>
      </c>
      <c r="K99">
        <v>49</v>
      </c>
      <c r="L99">
        <v>0</v>
      </c>
      <c r="AE99" s="3">
        <v>42474.232689155098</v>
      </c>
      <c r="AF99">
        <v>657</v>
      </c>
      <c r="AG99">
        <v>14738</v>
      </c>
      <c r="AH99">
        <v>1046</v>
      </c>
      <c r="AI99">
        <v>13692</v>
      </c>
      <c r="AJ99">
        <v>2</v>
      </c>
      <c r="AK99">
        <v>209</v>
      </c>
      <c r="AL99">
        <v>97</v>
      </c>
      <c r="AN99">
        <v>45</v>
      </c>
      <c r="AO99" t="s">
        <v>55</v>
      </c>
    </row>
    <row r="100" spans="1:41" x14ac:dyDescent="0.25">
      <c r="A100" s="2">
        <v>42475</v>
      </c>
      <c r="B100" s="1">
        <v>42475.932566192103</v>
      </c>
      <c r="C100" t="s">
        <v>50</v>
      </c>
      <c r="D100">
        <v>28252</v>
      </c>
      <c r="E100">
        <v>0</v>
      </c>
      <c r="F100">
        <v>580</v>
      </c>
      <c r="I100">
        <v>39</v>
      </c>
      <c r="J100">
        <v>80</v>
      </c>
      <c r="K100">
        <v>48</v>
      </c>
      <c r="L100">
        <v>0</v>
      </c>
      <c r="AE100" s="3">
        <v>42476.241899594897</v>
      </c>
      <c r="AF100">
        <v>4160</v>
      </c>
      <c r="AG100">
        <v>24092</v>
      </c>
      <c r="AH100">
        <v>3411</v>
      </c>
      <c r="AI100">
        <v>20681</v>
      </c>
      <c r="AJ100">
        <v>6</v>
      </c>
      <c r="AK100">
        <v>478</v>
      </c>
      <c r="AL100">
        <v>91</v>
      </c>
      <c r="AM100" t="s">
        <v>51</v>
      </c>
      <c r="AN100">
        <v>41</v>
      </c>
      <c r="AO100" t="s">
        <v>52</v>
      </c>
    </row>
    <row r="101" spans="1:41" x14ac:dyDescent="0.25">
      <c r="A101" s="2">
        <v>42476</v>
      </c>
      <c r="B101" s="1">
        <v>42476.967771006901</v>
      </c>
      <c r="C101" t="s">
        <v>50</v>
      </c>
      <c r="D101">
        <v>26688</v>
      </c>
      <c r="E101">
        <v>0</v>
      </c>
      <c r="F101">
        <v>544</v>
      </c>
      <c r="I101">
        <v>40</v>
      </c>
      <c r="J101">
        <v>72</v>
      </c>
      <c r="K101">
        <v>50</v>
      </c>
      <c r="L101">
        <v>0</v>
      </c>
      <c r="AE101" s="3">
        <v>42477.2749269907</v>
      </c>
      <c r="AF101">
        <v>2785</v>
      </c>
      <c r="AG101">
        <v>23902</v>
      </c>
      <c r="AH101">
        <v>5929</v>
      </c>
      <c r="AI101">
        <v>17973</v>
      </c>
      <c r="AJ101">
        <v>6</v>
      </c>
      <c r="AK101">
        <v>359</v>
      </c>
      <c r="AL101">
        <v>91</v>
      </c>
      <c r="AM101" t="s">
        <v>51</v>
      </c>
      <c r="AN101">
        <v>43</v>
      </c>
      <c r="AO101" t="s">
        <v>52</v>
      </c>
    </row>
    <row r="102" spans="1:41" x14ac:dyDescent="0.25">
      <c r="A102" s="2">
        <v>42477</v>
      </c>
      <c r="B102" s="1">
        <v>42477.945107500003</v>
      </c>
      <c r="C102" t="s">
        <v>50</v>
      </c>
      <c r="D102">
        <v>27338</v>
      </c>
      <c r="E102">
        <v>0</v>
      </c>
      <c r="F102">
        <v>559</v>
      </c>
      <c r="I102">
        <v>42</v>
      </c>
      <c r="J102">
        <v>80</v>
      </c>
      <c r="K102">
        <v>51</v>
      </c>
      <c r="L102">
        <v>0</v>
      </c>
      <c r="AE102" s="3">
        <v>42478.259796655097</v>
      </c>
      <c r="AF102">
        <v>4850</v>
      </c>
      <c r="AG102">
        <v>22487</v>
      </c>
      <c r="AH102">
        <v>3173</v>
      </c>
      <c r="AI102">
        <v>19314</v>
      </c>
      <c r="AJ102">
        <v>12</v>
      </c>
      <c r="AK102">
        <v>808</v>
      </c>
      <c r="AL102">
        <v>85</v>
      </c>
      <c r="AM102" t="s">
        <v>51</v>
      </c>
      <c r="AN102">
        <v>45</v>
      </c>
      <c r="AO102" t="s">
        <v>52</v>
      </c>
    </row>
    <row r="103" spans="1:41" x14ac:dyDescent="0.25">
      <c r="A103" s="2">
        <v>42478</v>
      </c>
      <c r="B103" s="1">
        <v>42478.914998101798</v>
      </c>
      <c r="C103" t="s">
        <v>50</v>
      </c>
      <c r="D103">
        <v>27116</v>
      </c>
      <c r="E103">
        <v>0</v>
      </c>
      <c r="F103">
        <v>558</v>
      </c>
      <c r="I103">
        <v>41</v>
      </c>
      <c r="J103">
        <v>80</v>
      </c>
      <c r="K103">
        <v>52</v>
      </c>
      <c r="L103">
        <v>0</v>
      </c>
      <c r="AE103" s="3">
        <v>42479.2271078009</v>
      </c>
      <c r="AF103">
        <v>4464</v>
      </c>
      <c r="AG103">
        <v>22651</v>
      </c>
      <c r="AH103">
        <v>3713</v>
      </c>
      <c r="AI103">
        <v>18938</v>
      </c>
      <c r="AJ103">
        <v>8</v>
      </c>
      <c r="AK103">
        <v>659</v>
      </c>
      <c r="AL103">
        <v>86</v>
      </c>
      <c r="AM103" t="s">
        <v>51</v>
      </c>
      <c r="AN103">
        <v>43</v>
      </c>
      <c r="AO103" t="s">
        <v>52</v>
      </c>
    </row>
  </sheetData>
  <pageMargins left="0.75" right="0.75" top="0.75" bottom="0.5" header="0.5" footer="0.7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workbookViewId="0">
      <selection activeCell="C1" sqref="C1:D11"/>
    </sheetView>
  </sheetViews>
  <sheetFormatPr defaultRowHeight="15" x14ac:dyDescent="0.25"/>
  <cols>
    <col min="1" max="1" width="9.5703125" customWidth="1"/>
    <col min="4" max="4" width="10.140625" customWidth="1"/>
  </cols>
  <sheetData>
    <row r="1" spans="1:17" x14ac:dyDescent="0.25">
      <c r="A1" t="s">
        <v>56</v>
      </c>
      <c r="C1" t="s">
        <v>56</v>
      </c>
      <c r="D1" t="s">
        <v>63</v>
      </c>
      <c r="N1" t="s">
        <v>60</v>
      </c>
      <c r="P1" t="s">
        <v>56</v>
      </c>
      <c r="Q1" t="s">
        <v>63</v>
      </c>
    </row>
    <row r="2" spans="1:17" x14ac:dyDescent="0.25">
      <c r="A2" s="4">
        <v>40</v>
      </c>
      <c r="C2">
        <v>35</v>
      </c>
      <c r="D2">
        <f>COUNTIF(A$2:A$102,C2)</f>
        <v>2</v>
      </c>
      <c r="M2">
        <f ca="1">RANDBETWEEN(2,101)</f>
        <v>56</v>
      </c>
      <c r="N2">
        <f ca="1">INDEX(A$2:A$101,M2)</f>
        <v>39</v>
      </c>
      <c r="P2">
        <v>35</v>
      </c>
      <c r="Q2">
        <f ca="1">COUNTIF(N$2:N$102,P2)</f>
        <v>0</v>
      </c>
    </row>
    <row r="3" spans="1:17" x14ac:dyDescent="0.25">
      <c r="A3" s="4">
        <v>41</v>
      </c>
      <c r="C3">
        <v>37</v>
      </c>
      <c r="D3">
        <f t="shared" ref="D3:D11" si="0">COUNTIF(A$2:A$102,C3)</f>
        <v>3</v>
      </c>
      <c r="M3">
        <f t="shared" ref="M3:M31" ca="1" si="1">RANDBETWEEN(2,101)</f>
        <v>11</v>
      </c>
      <c r="N3">
        <f t="shared" ref="N3:N31" ca="1" si="2">INDEX(A$2:A$101,M3)</f>
        <v>40</v>
      </c>
      <c r="P3">
        <v>37</v>
      </c>
      <c r="Q3">
        <f t="shared" ref="Q3:Q11" ca="1" si="3">COUNTIF(N$2:N$102,P3)</f>
        <v>3</v>
      </c>
    </row>
    <row r="4" spans="1:17" x14ac:dyDescent="0.25">
      <c r="A4" s="4">
        <v>40</v>
      </c>
      <c r="C4">
        <v>38</v>
      </c>
      <c r="D4">
        <f t="shared" si="0"/>
        <v>10</v>
      </c>
      <c r="M4">
        <f t="shared" ca="1" si="1"/>
        <v>2</v>
      </c>
      <c r="N4">
        <f t="shared" ca="1" si="2"/>
        <v>41</v>
      </c>
      <c r="P4">
        <v>38</v>
      </c>
      <c r="Q4">
        <f t="shared" ca="1" si="3"/>
        <v>2</v>
      </c>
    </row>
    <row r="5" spans="1:17" x14ac:dyDescent="0.25">
      <c r="A5" s="4">
        <v>43</v>
      </c>
      <c r="C5">
        <v>39</v>
      </c>
      <c r="D5">
        <f t="shared" si="0"/>
        <v>22</v>
      </c>
      <c r="M5">
        <f t="shared" ca="1" si="1"/>
        <v>43</v>
      </c>
      <c r="N5">
        <f t="shared" ca="1" si="2"/>
        <v>38</v>
      </c>
      <c r="P5">
        <v>39</v>
      </c>
      <c r="Q5">
        <f t="shared" ca="1" si="3"/>
        <v>5</v>
      </c>
    </row>
    <row r="6" spans="1:17" x14ac:dyDescent="0.25">
      <c r="A6" s="4">
        <v>44</v>
      </c>
      <c r="C6">
        <v>40</v>
      </c>
      <c r="D6">
        <f t="shared" si="0"/>
        <v>25</v>
      </c>
      <c r="M6">
        <f t="shared" ca="1" si="1"/>
        <v>67</v>
      </c>
      <c r="N6">
        <f t="shared" ca="1" si="2"/>
        <v>39</v>
      </c>
      <c r="P6">
        <v>40</v>
      </c>
      <c r="Q6">
        <f t="shared" ca="1" si="3"/>
        <v>8</v>
      </c>
    </row>
    <row r="7" spans="1:17" x14ac:dyDescent="0.25">
      <c r="A7" s="4">
        <v>43</v>
      </c>
      <c r="C7">
        <v>41</v>
      </c>
      <c r="D7">
        <f t="shared" si="0"/>
        <v>12</v>
      </c>
      <c r="M7">
        <f t="shared" ca="1" si="1"/>
        <v>29</v>
      </c>
      <c r="N7">
        <f t="shared" ca="1" si="2"/>
        <v>39</v>
      </c>
      <c r="P7">
        <v>41</v>
      </c>
      <c r="Q7">
        <f t="shared" ca="1" si="3"/>
        <v>4</v>
      </c>
    </row>
    <row r="8" spans="1:17" x14ac:dyDescent="0.25">
      <c r="A8" s="4">
        <v>44</v>
      </c>
      <c r="C8">
        <v>42</v>
      </c>
      <c r="D8">
        <f t="shared" si="0"/>
        <v>15</v>
      </c>
      <c r="M8">
        <f t="shared" ca="1" si="1"/>
        <v>3</v>
      </c>
      <c r="N8">
        <f t="shared" ca="1" si="2"/>
        <v>40</v>
      </c>
      <c r="P8">
        <v>42</v>
      </c>
      <c r="Q8">
        <f t="shared" ca="1" si="3"/>
        <v>4</v>
      </c>
    </row>
    <row r="9" spans="1:17" x14ac:dyDescent="0.25">
      <c r="A9" s="4">
        <v>43</v>
      </c>
      <c r="C9">
        <v>43</v>
      </c>
      <c r="D9">
        <f t="shared" si="0"/>
        <v>7</v>
      </c>
      <c r="M9">
        <f ca="1">RANDBETWEEN(2,101)</f>
        <v>68</v>
      </c>
      <c r="N9">
        <f t="shared" ca="1" si="2"/>
        <v>37</v>
      </c>
      <c r="P9">
        <v>43</v>
      </c>
      <c r="Q9">
        <f t="shared" ca="1" si="3"/>
        <v>4</v>
      </c>
    </row>
    <row r="10" spans="1:17" x14ac:dyDescent="0.25">
      <c r="A10" s="4">
        <v>43</v>
      </c>
      <c r="C10">
        <v>44</v>
      </c>
      <c r="D10">
        <f t="shared" si="0"/>
        <v>3</v>
      </c>
      <c r="M10">
        <f t="shared" ca="1" si="1"/>
        <v>10</v>
      </c>
      <c r="N10">
        <f t="shared" ca="1" si="2"/>
        <v>43</v>
      </c>
      <c r="P10">
        <v>44</v>
      </c>
      <c r="Q10">
        <f t="shared" ca="1" si="3"/>
        <v>0</v>
      </c>
    </row>
    <row r="11" spans="1:17" x14ac:dyDescent="0.25">
      <c r="A11" s="4">
        <v>43</v>
      </c>
      <c r="C11">
        <v>45</v>
      </c>
      <c r="D11">
        <f t="shared" si="0"/>
        <v>1</v>
      </c>
      <c r="M11">
        <f t="shared" ca="1" si="1"/>
        <v>96</v>
      </c>
      <c r="N11">
        <f t="shared" ca="1" si="2"/>
        <v>43</v>
      </c>
      <c r="P11">
        <v>45</v>
      </c>
      <c r="Q11">
        <f t="shared" ca="1" si="3"/>
        <v>0</v>
      </c>
    </row>
    <row r="12" spans="1:17" x14ac:dyDescent="0.25">
      <c r="A12" s="4">
        <v>40</v>
      </c>
      <c r="M12">
        <f t="shared" ca="1" si="1"/>
        <v>41</v>
      </c>
      <c r="N12">
        <f t="shared" ca="1" si="2"/>
        <v>42</v>
      </c>
    </row>
    <row r="13" spans="1:17" x14ac:dyDescent="0.25">
      <c r="A13" s="4">
        <v>42</v>
      </c>
      <c r="M13">
        <f t="shared" ca="1" si="1"/>
        <v>8</v>
      </c>
      <c r="N13">
        <f t="shared" ca="1" si="2"/>
        <v>43</v>
      </c>
    </row>
    <row r="14" spans="1:17" x14ac:dyDescent="0.25">
      <c r="A14" s="4">
        <v>40</v>
      </c>
      <c r="M14">
        <f t="shared" ca="1" si="1"/>
        <v>37</v>
      </c>
      <c r="N14">
        <f t="shared" ca="1" si="2"/>
        <v>40</v>
      </c>
    </row>
    <row r="15" spans="1:17" x14ac:dyDescent="0.25">
      <c r="A15" s="4">
        <v>45</v>
      </c>
      <c r="M15">
        <f t="shared" ca="1" si="1"/>
        <v>46</v>
      </c>
      <c r="N15">
        <f ca="1">INDEX(A$2:A$101,M15)</f>
        <v>42</v>
      </c>
    </row>
    <row r="16" spans="1:17" x14ac:dyDescent="0.25">
      <c r="A16" s="4">
        <v>40</v>
      </c>
      <c r="M16">
        <f t="shared" ca="1" si="1"/>
        <v>77</v>
      </c>
      <c r="N16">
        <f t="shared" ca="1" si="2"/>
        <v>37</v>
      </c>
    </row>
    <row r="17" spans="1:14" x14ac:dyDescent="0.25">
      <c r="A17" s="4">
        <v>42</v>
      </c>
      <c r="M17">
        <f t="shared" ca="1" si="1"/>
        <v>27</v>
      </c>
      <c r="N17">
        <f t="shared" ca="1" si="2"/>
        <v>39</v>
      </c>
    </row>
    <row r="18" spans="1:14" x14ac:dyDescent="0.25">
      <c r="A18" s="4">
        <v>42</v>
      </c>
      <c r="M18">
        <f t="shared" ca="1" si="1"/>
        <v>79</v>
      </c>
      <c r="N18">
        <f t="shared" ca="1" si="2"/>
        <v>40</v>
      </c>
    </row>
    <row r="19" spans="1:14" x14ac:dyDescent="0.25">
      <c r="A19" s="4">
        <v>42</v>
      </c>
      <c r="M19">
        <f t="shared" ca="1" si="1"/>
        <v>47</v>
      </c>
      <c r="N19">
        <f t="shared" ca="1" si="2"/>
        <v>41</v>
      </c>
    </row>
    <row r="20" spans="1:14" x14ac:dyDescent="0.25">
      <c r="A20" s="4">
        <v>39</v>
      </c>
      <c r="M20">
        <f t="shared" ca="1" si="1"/>
        <v>58</v>
      </c>
      <c r="N20">
        <f t="shared" ca="1" si="2"/>
        <v>40</v>
      </c>
    </row>
    <row r="21" spans="1:14" x14ac:dyDescent="0.25">
      <c r="A21" s="4">
        <v>41</v>
      </c>
      <c r="M21">
        <f t="shared" ca="1" si="1"/>
        <v>88</v>
      </c>
      <c r="N21">
        <f t="shared" ca="1" si="2"/>
        <v>37</v>
      </c>
    </row>
    <row r="22" spans="1:14" x14ac:dyDescent="0.25">
      <c r="A22" s="4">
        <v>40</v>
      </c>
      <c r="M22">
        <f t="shared" ca="1" si="1"/>
        <v>79</v>
      </c>
      <c r="N22">
        <f t="shared" ca="1" si="2"/>
        <v>40</v>
      </c>
    </row>
    <row r="23" spans="1:14" x14ac:dyDescent="0.25">
      <c r="A23" s="4">
        <v>38</v>
      </c>
      <c r="M23">
        <f t="shared" ca="1" si="1"/>
        <v>69</v>
      </c>
      <c r="N23">
        <f t="shared" ca="1" si="2"/>
        <v>38</v>
      </c>
    </row>
    <row r="24" spans="1:14" x14ac:dyDescent="0.25">
      <c r="A24" s="4">
        <v>41</v>
      </c>
      <c r="M24">
        <f t="shared" ca="1" si="1"/>
        <v>49</v>
      </c>
      <c r="N24">
        <f t="shared" ca="1" si="2"/>
        <v>41</v>
      </c>
    </row>
    <row r="25" spans="1:14" x14ac:dyDescent="0.25">
      <c r="A25" s="4">
        <v>39</v>
      </c>
      <c r="M25">
        <f t="shared" ca="1" si="1"/>
        <v>51</v>
      </c>
      <c r="N25">
        <f t="shared" ca="1" si="2"/>
        <v>40</v>
      </c>
    </row>
    <row r="26" spans="1:14" x14ac:dyDescent="0.25">
      <c r="A26" s="4">
        <v>41</v>
      </c>
      <c r="M26">
        <f t="shared" ca="1" si="1"/>
        <v>67</v>
      </c>
      <c r="N26">
        <f t="shared" ca="1" si="2"/>
        <v>39</v>
      </c>
    </row>
    <row r="27" spans="1:14" x14ac:dyDescent="0.25">
      <c r="A27" s="4">
        <v>40</v>
      </c>
      <c r="M27">
        <f t="shared" ca="1" si="1"/>
        <v>73</v>
      </c>
      <c r="N27">
        <f t="shared" ca="1" si="2"/>
        <v>42</v>
      </c>
    </row>
    <row r="28" spans="1:14" x14ac:dyDescent="0.25">
      <c r="A28" s="4">
        <v>39</v>
      </c>
      <c r="M28">
        <f t="shared" ca="1" si="1"/>
        <v>90</v>
      </c>
      <c r="N28">
        <f t="shared" ca="1" si="2"/>
        <v>42</v>
      </c>
    </row>
    <row r="29" spans="1:14" x14ac:dyDescent="0.25">
      <c r="A29" s="4">
        <v>39</v>
      </c>
      <c r="M29">
        <f t="shared" ca="1" si="1"/>
        <v>3</v>
      </c>
      <c r="N29">
        <f t="shared" ca="1" si="2"/>
        <v>40</v>
      </c>
    </row>
    <row r="30" spans="1:14" x14ac:dyDescent="0.25">
      <c r="A30" s="4">
        <v>39</v>
      </c>
      <c r="M30">
        <f t="shared" ca="1" si="1"/>
        <v>8</v>
      </c>
      <c r="N30">
        <f t="shared" ca="1" si="2"/>
        <v>43</v>
      </c>
    </row>
    <row r="31" spans="1:14" x14ac:dyDescent="0.25">
      <c r="A31" s="4">
        <v>39</v>
      </c>
      <c r="M31">
        <f t="shared" ca="1" si="1"/>
        <v>45</v>
      </c>
      <c r="N31">
        <f t="shared" ca="1" si="2"/>
        <v>41</v>
      </c>
    </row>
    <row r="32" spans="1:14" x14ac:dyDescent="0.25">
      <c r="A32" s="4">
        <v>38</v>
      </c>
    </row>
    <row r="33" spans="1:1" x14ac:dyDescent="0.25">
      <c r="A33" s="4">
        <v>39</v>
      </c>
    </row>
    <row r="34" spans="1:1" x14ac:dyDescent="0.25">
      <c r="A34" s="4">
        <v>39</v>
      </c>
    </row>
    <row r="35" spans="1:1" x14ac:dyDescent="0.25">
      <c r="A35" s="4">
        <v>39</v>
      </c>
    </row>
    <row r="36" spans="1:1" x14ac:dyDescent="0.25">
      <c r="A36" s="4">
        <v>42</v>
      </c>
    </row>
    <row r="37" spans="1:1" x14ac:dyDescent="0.25">
      <c r="A37" s="4">
        <v>40</v>
      </c>
    </row>
    <row r="38" spans="1:1" x14ac:dyDescent="0.25">
      <c r="A38" s="4">
        <v>40</v>
      </c>
    </row>
    <row r="39" spans="1:1" x14ac:dyDescent="0.25">
      <c r="A39" s="4">
        <v>42</v>
      </c>
    </row>
    <row r="40" spans="1:1" x14ac:dyDescent="0.25">
      <c r="A40" s="4">
        <v>42</v>
      </c>
    </row>
    <row r="41" spans="1:1" x14ac:dyDescent="0.25">
      <c r="A41" s="4">
        <v>39</v>
      </c>
    </row>
    <row r="42" spans="1:1" x14ac:dyDescent="0.25">
      <c r="A42" s="4">
        <v>42</v>
      </c>
    </row>
    <row r="43" spans="1:1" x14ac:dyDescent="0.25">
      <c r="A43" s="4">
        <v>43</v>
      </c>
    </row>
    <row r="44" spans="1:1" x14ac:dyDescent="0.25">
      <c r="A44" s="4">
        <v>38</v>
      </c>
    </row>
    <row r="45" spans="1:1" x14ac:dyDescent="0.25">
      <c r="A45" s="4">
        <v>40</v>
      </c>
    </row>
    <row r="46" spans="1:1" x14ac:dyDescent="0.25">
      <c r="A46" s="4">
        <v>41</v>
      </c>
    </row>
    <row r="47" spans="1:1" x14ac:dyDescent="0.25">
      <c r="A47" s="4">
        <v>42</v>
      </c>
    </row>
    <row r="48" spans="1:1" x14ac:dyDescent="0.25">
      <c r="A48" s="4">
        <v>41</v>
      </c>
    </row>
    <row r="49" spans="1:1" x14ac:dyDescent="0.25">
      <c r="A49" s="4">
        <v>40</v>
      </c>
    </row>
    <row r="50" spans="1:1" x14ac:dyDescent="0.25">
      <c r="A50" s="4">
        <v>41</v>
      </c>
    </row>
    <row r="51" spans="1:1" x14ac:dyDescent="0.25">
      <c r="A51" s="4">
        <v>40</v>
      </c>
    </row>
    <row r="52" spans="1:1" x14ac:dyDescent="0.25">
      <c r="A52" s="4">
        <v>40</v>
      </c>
    </row>
    <row r="53" spans="1:1" x14ac:dyDescent="0.25">
      <c r="A53" s="4">
        <v>41</v>
      </c>
    </row>
    <row r="54" spans="1:1" x14ac:dyDescent="0.25">
      <c r="A54" s="4">
        <v>41</v>
      </c>
    </row>
    <row r="55" spans="1:1" x14ac:dyDescent="0.25">
      <c r="A55" s="4">
        <v>40</v>
      </c>
    </row>
    <row r="56" spans="1:1" x14ac:dyDescent="0.25">
      <c r="A56" s="4">
        <v>44</v>
      </c>
    </row>
    <row r="57" spans="1:1" x14ac:dyDescent="0.25">
      <c r="A57" s="4">
        <v>39</v>
      </c>
    </row>
    <row r="58" spans="1:1" x14ac:dyDescent="0.25">
      <c r="A58" s="4">
        <v>38</v>
      </c>
    </row>
    <row r="59" spans="1:1" x14ac:dyDescent="0.25">
      <c r="A59" s="4">
        <v>40</v>
      </c>
    </row>
    <row r="60" spans="1:1" x14ac:dyDescent="0.25">
      <c r="A60" s="4">
        <v>40</v>
      </c>
    </row>
    <row r="61" spans="1:1" x14ac:dyDescent="0.25">
      <c r="A61" s="4">
        <v>40</v>
      </c>
    </row>
    <row r="62" spans="1:1" x14ac:dyDescent="0.25">
      <c r="A62" s="4">
        <v>39</v>
      </c>
    </row>
    <row r="63" spans="1:1" x14ac:dyDescent="0.25">
      <c r="A63" s="4">
        <v>39</v>
      </c>
    </row>
    <row r="64" spans="1:1" x14ac:dyDescent="0.25">
      <c r="A64" s="4">
        <v>38</v>
      </c>
    </row>
    <row r="65" spans="1:1" x14ac:dyDescent="0.25">
      <c r="A65" s="4">
        <v>39</v>
      </c>
    </row>
    <row r="66" spans="1:1" x14ac:dyDescent="0.25">
      <c r="A66" s="4">
        <v>40</v>
      </c>
    </row>
    <row r="67" spans="1:1" x14ac:dyDescent="0.25">
      <c r="A67" s="4">
        <v>40</v>
      </c>
    </row>
    <row r="68" spans="1:1" x14ac:dyDescent="0.25">
      <c r="A68" s="4">
        <v>39</v>
      </c>
    </row>
    <row r="69" spans="1:1" x14ac:dyDescent="0.25">
      <c r="A69" s="4">
        <v>37</v>
      </c>
    </row>
    <row r="70" spans="1:1" x14ac:dyDescent="0.25">
      <c r="A70" s="4">
        <v>38</v>
      </c>
    </row>
    <row r="71" spans="1:1" x14ac:dyDescent="0.25">
      <c r="A71" s="4">
        <v>35</v>
      </c>
    </row>
    <row r="72" spans="1:1" x14ac:dyDescent="0.25">
      <c r="A72" s="4">
        <v>41</v>
      </c>
    </row>
    <row r="73" spans="1:1" x14ac:dyDescent="0.25">
      <c r="A73" s="4">
        <v>42</v>
      </c>
    </row>
    <row r="74" spans="1:1" x14ac:dyDescent="0.25">
      <c r="A74" s="4">
        <v>42</v>
      </c>
    </row>
    <row r="75" spans="1:1" x14ac:dyDescent="0.25">
      <c r="A75" s="4">
        <v>39</v>
      </c>
    </row>
    <row r="76" spans="1:1" x14ac:dyDescent="0.25">
      <c r="A76" s="4">
        <v>39</v>
      </c>
    </row>
    <row r="77" spans="1:1" x14ac:dyDescent="0.25">
      <c r="A77" s="4">
        <v>41</v>
      </c>
    </row>
    <row r="78" spans="1:1" x14ac:dyDescent="0.25">
      <c r="A78" s="4">
        <v>37</v>
      </c>
    </row>
    <row r="79" spans="1:1" x14ac:dyDescent="0.25">
      <c r="A79" s="4">
        <v>39</v>
      </c>
    </row>
    <row r="80" spans="1:1" x14ac:dyDescent="0.25">
      <c r="A80" s="4">
        <v>40</v>
      </c>
    </row>
    <row r="81" spans="1:1" x14ac:dyDescent="0.25">
      <c r="A81" s="4">
        <v>35</v>
      </c>
    </row>
    <row r="82" spans="1:1" x14ac:dyDescent="0.25">
      <c r="A82" s="4">
        <v>42</v>
      </c>
    </row>
    <row r="83" spans="1:1" x14ac:dyDescent="0.25">
      <c r="A83" s="4">
        <v>39</v>
      </c>
    </row>
    <row r="84" spans="1:1" x14ac:dyDescent="0.25">
      <c r="A84" s="4">
        <v>42</v>
      </c>
    </row>
    <row r="85" spans="1:1" x14ac:dyDescent="0.25">
      <c r="A85" s="4">
        <v>38</v>
      </c>
    </row>
    <row r="86" spans="1:1" x14ac:dyDescent="0.25">
      <c r="A86" s="4">
        <v>39</v>
      </c>
    </row>
    <row r="87" spans="1:1" x14ac:dyDescent="0.25">
      <c r="A87" s="4">
        <v>40</v>
      </c>
    </row>
    <row r="88" spans="1:1" x14ac:dyDescent="0.25">
      <c r="A88" s="4">
        <v>38</v>
      </c>
    </row>
    <row r="89" spans="1:1" x14ac:dyDescent="0.25">
      <c r="A89" s="4">
        <v>37</v>
      </c>
    </row>
    <row r="90" spans="1:1" x14ac:dyDescent="0.25">
      <c r="A90" s="4">
        <v>38</v>
      </c>
    </row>
    <row r="91" spans="1:1" x14ac:dyDescent="0.25">
      <c r="A91" s="4">
        <v>42</v>
      </c>
    </row>
    <row r="92" spans="1:1" x14ac:dyDescent="0.25">
      <c r="A92" s="4">
        <v>39</v>
      </c>
    </row>
    <row r="93" spans="1:1" x14ac:dyDescent="0.25">
      <c r="A93" s="4">
        <v>40</v>
      </c>
    </row>
    <row r="94" spans="1:1" x14ac:dyDescent="0.25">
      <c r="A94" s="4">
        <v>38</v>
      </c>
    </row>
    <row r="95" spans="1:1" x14ac:dyDescent="0.25">
      <c r="A95" s="4">
        <v>40</v>
      </c>
    </row>
    <row r="96" spans="1:1" x14ac:dyDescent="0.25">
      <c r="A96" s="4">
        <v>40</v>
      </c>
    </row>
    <row r="97" spans="1:1" x14ac:dyDescent="0.25">
      <c r="A97" s="4">
        <v>43</v>
      </c>
    </row>
    <row r="98" spans="1:1" x14ac:dyDescent="0.25">
      <c r="A98" s="4">
        <v>39</v>
      </c>
    </row>
    <row r="99" spans="1:1" x14ac:dyDescent="0.25">
      <c r="A99" s="4">
        <v>40</v>
      </c>
    </row>
    <row r="100" spans="1:1" x14ac:dyDescent="0.25">
      <c r="A100" s="4">
        <v>42</v>
      </c>
    </row>
    <row r="101" spans="1:1" x14ac:dyDescent="0.25">
      <c r="A101" s="4">
        <v>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02"/>
  <sheetViews>
    <sheetView tabSelected="1" topLeftCell="A19" workbookViewId="0">
      <selection activeCell="V3" sqref="V3"/>
    </sheetView>
  </sheetViews>
  <sheetFormatPr defaultRowHeight="15" x14ac:dyDescent="0.25"/>
  <cols>
    <col min="1" max="1" width="9.5703125" customWidth="1"/>
    <col min="3" max="3" width="14.42578125" customWidth="1"/>
    <col min="4" max="4" width="5.28515625" customWidth="1"/>
    <col min="5" max="5" width="4.28515625" customWidth="1"/>
    <col min="6" max="15" width="2.85546875" customWidth="1"/>
    <col min="16" max="16" width="11.5703125" bestFit="1" customWidth="1"/>
    <col min="26" max="26" width="15.28515625" customWidth="1"/>
    <col min="27" max="27" width="13.42578125" customWidth="1"/>
    <col min="29" max="29" width="9.5703125" customWidth="1"/>
    <col min="32" max="32" width="15.28515625" bestFit="1" customWidth="1"/>
    <col min="33" max="33" width="14.42578125" customWidth="1"/>
  </cols>
  <sheetData>
    <row r="1" spans="1:101" x14ac:dyDescent="0.25">
      <c r="A1" t="s">
        <v>56</v>
      </c>
      <c r="V1" t="s">
        <v>60</v>
      </c>
      <c r="X1" t="s">
        <v>56</v>
      </c>
      <c r="Y1" t="s">
        <v>63</v>
      </c>
    </row>
    <row r="2" spans="1:101" x14ac:dyDescent="0.25">
      <c r="A2" s="4">
        <v>51</v>
      </c>
      <c r="B2" s="4"/>
      <c r="C2" s="4"/>
      <c r="Q2" s="4"/>
      <c r="R2" s="4"/>
      <c r="S2" s="4"/>
      <c r="T2" s="4"/>
      <c r="U2" s="4"/>
      <c r="V2" s="8">
        <f ca="1">INDEX($A:$A,W2,1)</f>
        <v>48</v>
      </c>
      <c r="W2" s="4">
        <f ca="1">RANDBETWEEN(2,101)</f>
        <v>76</v>
      </c>
      <c r="X2">
        <v>47</v>
      </c>
      <c r="Y2">
        <f ca="1">COUNTIF(V$2:V$31,X2)</f>
        <v>0</v>
      </c>
      <c r="AC2" s="12" t="s">
        <v>56</v>
      </c>
      <c r="AD2" s="4" t="s">
        <v>62</v>
      </c>
      <c r="AE2" s="4"/>
      <c r="AF2" s="6" t="s">
        <v>61</v>
      </c>
      <c r="AG2" t="s">
        <v>58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5"/>
    </row>
    <row r="3" spans="1:101" x14ac:dyDescent="0.25">
      <c r="A3" s="4">
        <v>49</v>
      </c>
      <c r="C3" s="6" t="s">
        <v>58</v>
      </c>
      <c r="V3" s="8">
        <f t="shared" ref="V3:V31" ca="1" si="0">INDEX($A:$A,W3,1)</f>
        <v>49</v>
      </c>
      <c r="W3" s="4">
        <f ca="1">RANDBETWEEN(2,101)</f>
        <v>22</v>
      </c>
      <c r="X3">
        <v>48</v>
      </c>
      <c r="Y3">
        <f t="shared" ref="Y3:Y12" ca="1" si="1">COUNTIF(V$2:V$31,X3)</f>
        <v>5</v>
      </c>
      <c r="Z3" s="7"/>
      <c r="AC3" s="9">
        <v>49</v>
      </c>
      <c r="AD3">
        <f t="shared" ref="AD3:AD34" ca="1" si="2">RAND()</f>
        <v>3.2433158426680708E-2</v>
      </c>
      <c r="AF3" s="7">
        <v>48</v>
      </c>
      <c r="AG3">
        <v>7</v>
      </c>
    </row>
    <row r="4" spans="1:101" x14ac:dyDescent="0.25">
      <c r="A4" s="4">
        <v>52</v>
      </c>
      <c r="C4" s="6" t="s">
        <v>56</v>
      </c>
      <c r="D4" t="s">
        <v>59</v>
      </c>
      <c r="V4" s="8">
        <f t="shared" ca="1" si="0"/>
        <v>50</v>
      </c>
      <c r="W4" s="4">
        <f ca="1">RANDBETWEEN(2,101)</f>
        <v>87</v>
      </c>
      <c r="X4">
        <v>49</v>
      </c>
      <c r="Y4">
        <f t="shared" ca="1" si="1"/>
        <v>8</v>
      </c>
      <c r="Z4" s="7"/>
      <c r="AC4" s="8">
        <v>50</v>
      </c>
      <c r="AD4">
        <f t="shared" ca="1" si="2"/>
        <v>0.12868295856413914</v>
      </c>
      <c r="AF4" s="7">
        <v>49</v>
      </c>
      <c r="AG4">
        <v>8</v>
      </c>
    </row>
    <row r="5" spans="1:101" x14ac:dyDescent="0.25">
      <c r="A5" s="4">
        <v>53</v>
      </c>
      <c r="C5">
        <v>47</v>
      </c>
      <c r="D5">
        <v>1</v>
      </c>
      <c r="V5" s="8">
        <f t="shared" ca="1" si="0"/>
        <v>49</v>
      </c>
      <c r="W5" s="4">
        <f t="shared" ref="W5:W32" ca="1" si="3">RANDBETWEEN(2,101)</f>
        <v>64</v>
      </c>
      <c r="X5">
        <v>50</v>
      </c>
      <c r="Y5">
        <f t="shared" ca="1" si="1"/>
        <v>11</v>
      </c>
      <c r="Z5" s="7"/>
      <c r="AC5" s="8">
        <v>48</v>
      </c>
      <c r="AD5">
        <f t="shared" ca="1" si="2"/>
        <v>0.74801604010164024</v>
      </c>
      <c r="AF5" s="7">
        <v>50</v>
      </c>
      <c r="AG5">
        <v>9</v>
      </c>
    </row>
    <row r="6" spans="1:101" x14ac:dyDescent="0.25">
      <c r="A6" s="4">
        <v>52</v>
      </c>
      <c r="C6">
        <v>48</v>
      </c>
      <c r="D6">
        <v>20</v>
      </c>
      <c r="V6" s="8">
        <f t="shared" ca="1" si="0"/>
        <v>50</v>
      </c>
      <c r="W6" s="4">
        <f t="shared" ca="1" si="3"/>
        <v>47</v>
      </c>
      <c r="X6">
        <v>51</v>
      </c>
      <c r="Y6">
        <f t="shared" ca="1" si="1"/>
        <v>3</v>
      </c>
      <c r="Z6" s="7"/>
      <c r="AC6" s="9">
        <v>50</v>
      </c>
      <c r="AD6">
        <f t="shared" ca="1" si="2"/>
        <v>0.79957751146122003</v>
      </c>
      <c r="AF6" s="7">
        <v>52</v>
      </c>
      <c r="AG6">
        <v>2</v>
      </c>
    </row>
    <row r="7" spans="1:101" x14ac:dyDescent="0.25">
      <c r="A7" s="4">
        <v>51</v>
      </c>
      <c r="C7">
        <v>49</v>
      </c>
      <c r="D7">
        <v>20</v>
      </c>
      <c r="V7" s="8">
        <f t="shared" ca="1" si="0"/>
        <v>48</v>
      </c>
      <c r="W7" s="4">
        <f t="shared" ca="1" si="3"/>
        <v>37</v>
      </c>
      <c r="X7">
        <v>52</v>
      </c>
      <c r="Y7">
        <f t="shared" ca="1" si="1"/>
        <v>2</v>
      </c>
      <c r="Z7" s="7"/>
      <c r="AC7" s="9">
        <v>50</v>
      </c>
      <c r="AD7">
        <f t="shared" ca="1" si="2"/>
        <v>7.800091005056542E-2</v>
      </c>
      <c r="AF7" s="7">
        <v>53</v>
      </c>
      <c r="AG7">
        <v>1</v>
      </c>
    </row>
    <row r="8" spans="1:101" x14ac:dyDescent="0.25">
      <c r="A8" s="4">
        <v>55</v>
      </c>
      <c r="C8">
        <v>50</v>
      </c>
      <c r="D8">
        <v>25</v>
      </c>
      <c r="H8">
        <f>COUNTIF(E$2:E$31,G8)</f>
        <v>0</v>
      </c>
      <c r="V8" s="8">
        <f ca="1">INDEX($A:$A,W8,1)</f>
        <v>48</v>
      </c>
      <c r="W8" s="4">
        <f t="shared" ca="1" si="3"/>
        <v>76</v>
      </c>
      <c r="X8">
        <v>53</v>
      </c>
      <c r="Y8">
        <f t="shared" ca="1" si="1"/>
        <v>0</v>
      </c>
      <c r="Z8" s="7"/>
      <c r="AC8" s="9">
        <v>49</v>
      </c>
      <c r="AD8">
        <f t="shared" ca="1" si="2"/>
        <v>0.90161865587543855</v>
      </c>
      <c r="AF8" s="7">
        <v>54</v>
      </c>
      <c r="AG8">
        <v>2</v>
      </c>
    </row>
    <row r="9" spans="1:101" x14ac:dyDescent="0.25">
      <c r="A9" s="4">
        <v>52</v>
      </c>
      <c r="C9">
        <v>51</v>
      </c>
      <c r="D9">
        <v>14</v>
      </c>
      <c r="V9" s="8">
        <f ca="1">INDEX($A:$A,W9,1)</f>
        <v>50</v>
      </c>
      <c r="W9" s="4">
        <f ca="1">RANDBETWEEN(2,101)</f>
        <v>26</v>
      </c>
      <c r="X9">
        <v>54</v>
      </c>
      <c r="Y9">
        <f t="shared" ca="1" si="1"/>
        <v>0</v>
      </c>
      <c r="Z9" s="7"/>
      <c r="AC9" s="9">
        <v>49</v>
      </c>
      <c r="AD9">
        <f t="shared" ca="1" si="2"/>
        <v>0.95640513926147308</v>
      </c>
      <c r="AF9" s="7">
        <v>55</v>
      </c>
      <c r="AG9">
        <v>1</v>
      </c>
    </row>
    <row r="10" spans="1:101" x14ac:dyDescent="0.25">
      <c r="A10" s="4">
        <v>52</v>
      </c>
      <c r="C10">
        <v>52</v>
      </c>
      <c r="D10">
        <v>11</v>
      </c>
      <c r="V10" s="8">
        <f t="shared" ca="1" si="0"/>
        <v>50</v>
      </c>
      <c r="W10" s="4">
        <f t="shared" ca="1" si="3"/>
        <v>73</v>
      </c>
      <c r="X10">
        <v>55</v>
      </c>
      <c r="Y10">
        <f t="shared" ca="1" si="1"/>
        <v>0</v>
      </c>
      <c r="AC10" s="9">
        <v>48</v>
      </c>
      <c r="AD10">
        <f t="shared" ca="1" si="2"/>
        <v>0.30269522077626387</v>
      </c>
      <c r="AF10" s="7" t="s">
        <v>57</v>
      </c>
      <c r="AG10">
        <v>30</v>
      </c>
    </row>
    <row r="11" spans="1:101" x14ac:dyDescent="0.25">
      <c r="A11" s="4">
        <v>57</v>
      </c>
      <c r="C11">
        <v>53</v>
      </c>
      <c r="D11">
        <v>3</v>
      </c>
      <c r="V11" s="8">
        <f t="shared" ca="1" si="0"/>
        <v>50</v>
      </c>
      <c r="W11" s="4">
        <f t="shared" ca="1" si="3"/>
        <v>73</v>
      </c>
      <c r="X11">
        <v>56</v>
      </c>
      <c r="Y11">
        <f t="shared" ca="1" si="1"/>
        <v>0</v>
      </c>
      <c r="AC11" s="8">
        <v>49</v>
      </c>
      <c r="AD11">
        <f t="shared" ca="1" si="2"/>
        <v>3.6474600483135111E-3</v>
      </c>
    </row>
    <row r="12" spans="1:101" x14ac:dyDescent="0.25">
      <c r="A12" s="4">
        <v>50</v>
      </c>
      <c r="C12">
        <v>54</v>
      </c>
      <c r="D12">
        <v>3</v>
      </c>
      <c r="V12" s="8">
        <f t="shared" ca="1" si="0"/>
        <v>48</v>
      </c>
      <c r="W12" s="4">
        <f t="shared" ca="1" si="3"/>
        <v>55</v>
      </c>
      <c r="X12" s="4">
        <v>57</v>
      </c>
      <c r="Y12">
        <f t="shared" ca="1" si="1"/>
        <v>1</v>
      </c>
      <c r="AC12" s="8">
        <v>50</v>
      </c>
      <c r="AD12">
        <f t="shared" ca="1" si="2"/>
        <v>0.27398348634318859</v>
      </c>
    </row>
    <row r="13" spans="1:101" x14ac:dyDescent="0.25">
      <c r="A13" s="4">
        <v>54</v>
      </c>
      <c r="C13">
        <v>55</v>
      </c>
      <c r="D13">
        <v>1</v>
      </c>
      <c r="V13" s="8">
        <f t="shared" ca="1" si="0"/>
        <v>49</v>
      </c>
      <c r="W13" s="4">
        <f t="shared" ca="1" si="3"/>
        <v>96</v>
      </c>
      <c r="X13" s="4"/>
      <c r="AC13" s="9">
        <v>49</v>
      </c>
      <c r="AD13">
        <f t="shared" ca="1" si="2"/>
        <v>0.42226877073301949</v>
      </c>
    </row>
    <row r="14" spans="1:101" x14ac:dyDescent="0.25">
      <c r="A14" s="4">
        <v>50</v>
      </c>
      <c r="C14">
        <v>56</v>
      </c>
      <c r="D14">
        <v>1</v>
      </c>
      <c r="V14" s="8">
        <f t="shared" ca="1" si="0"/>
        <v>51</v>
      </c>
      <c r="W14" s="4">
        <f t="shared" ca="1" si="3"/>
        <v>68</v>
      </c>
      <c r="X14" s="4"/>
      <c r="AC14" s="8">
        <v>48</v>
      </c>
      <c r="AD14">
        <f t="shared" ca="1" si="2"/>
        <v>4.5848412841077546E-2</v>
      </c>
    </row>
    <row r="15" spans="1:101" x14ac:dyDescent="0.25">
      <c r="A15" s="4">
        <v>54</v>
      </c>
      <c r="C15">
        <v>57</v>
      </c>
      <c r="D15">
        <v>1</v>
      </c>
      <c r="V15" s="8">
        <f t="shared" ca="1" si="0"/>
        <v>48</v>
      </c>
      <c r="W15" s="4">
        <f t="shared" ca="1" si="3"/>
        <v>55</v>
      </c>
      <c r="X15" s="4"/>
      <c r="AC15" s="8">
        <v>50</v>
      </c>
      <c r="AD15">
        <f t="shared" ca="1" si="2"/>
        <v>0.32629053309834277</v>
      </c>
    </row>
    <row r="16" spans="1:101" x14ac:dyDescent="0.25">
      <c r="A16" s="4">
        <v>51</v>
      </c>
      <c r="C16" t="s">
        <v>57</v>
      </c>
      <c r="D16">
        <v>100</v>
      </c>
      <c r="V16" s="8">
        <f t="shared" ca="1" si="0"/>
        <v>50</v>
      </c>
      <c r="W16" s="4">
        <f t="shared" ca="1" si="3"/>
        <v>30</v>
      </c>
      <c r="X16" s="4"/>
      <c r="AC16" s="8">
        <v>55</v>
      </c>
      <c r="AD16">
        <f t="shared" ca="1" si="2"/>
        <v>3.0381157459552943E-2</v>
      </c>
    </row>
    <row r="17" spans="1:30" x14ac:dyDescent="0.25">
      <c r="A17" s="4">
        <v>50</v>
      </c>
      <c r="V17" s="8">
        <f t="shared" ca="1" si="0"/>
        <v>49</v>
      </c>
      <c r="W17" s="4">
        <f t="shared" ca="1" si="3"/>
        <v>34</v>
      </c>
      <c r="X17" s="4"/>
      <c r="AC17" s="9">
        <v>49</v>
      </c>
      <c r="AD17">
        <f t="shared" ca="1" si="2"/>
        <v>0.88235442383035656</v>
      </c>
    </row>
    <row r="18" spans="1:30" x14ac:dyDescent="0.25">
      <c r="A18" s="4">
        <v>52</v>
      </c>
      <c r="V18" s="8">
        <f t="shared" ca="1" si="0"/>
        <v>50</v>
      </c>
      <c r="W18" s="4">
        <f t="shared" ca="1" si="3"/>
        <v>54</v>
      </c>
      <c r="X18" s="4"/>
      <c r="AC18" s="8">
        <v>50</v>
      </c>
      <c r="AD18">
        <f t="shared" ca="1" si="2"/>
        <v>0.82683802989420041</v>
      </c>
    </row>
    <row r="19" spans="1:30" x14ac:dyDescent="0.25">
      <c r="A19" s="4">
        <v>52</v>
      </c>
      <c r="V19" s="8">
        <f t="shared" ca="1" si="0"/>
        <v>50</v>
      </c>
      <c r="W19" s="4">
        <f t="shared" ca="1" si="3"/>
        <v>21</v>
      </c>
      <c r="X19" s="4"/>
      <c r="AC19" s="8">
        <v>52</v>
      </c>
      <c r="AD19">
        <f t="shared" ca="1" si="2"/>
        <v>0.36649208889570239</v>
      </c>
    </row>
    <row r="20" spans="1:30" x14ac:dyDescent="0.25">
      <c r="A20" s="4">
        <v>48</v>
      </c>
      <c r="V20" s="8">
        <f t="shared" ca="1" si="0"/>
        <v>51</v>
      </c>
      <c r="W20" s="4">
        <f t="shared" ca="1" si="3"/>
        <v>16</v>
      </c>
      <c r="X20" s="4"/>
      <c r="Z20" s="7"/>
      <c r="AC20" s="8">
        <v>52</v>
      </c>
      <c r="AD20">
        <f t="shared" ca="1" si="2"/>
        <v>0.71812862529073329</v>
      </c>
    </row>
    <row r="21" spans="1:30" x14ac:dyDescent="0.25">
      <c r="A21" s="4">
        <v>50</v>
      </c>
      <c r="V21" s="8">
        <f t="shared" ca="1" si="0"/>
        <v>50</v>
      </c>
      <c r="W21" s="4">
        <f t="shared" ca="1" si="3"/>
        <v>74</v>
      </c>
      <c r="X21" s="4"/>
      <c r="Z21" s="7"/>
      <c r="AC21" s="9">
        <v>49</v>
      </c>
      <c r="AD21">
        <f t="shared" ca="1" si="2"/>
        <v>0.39520900803992398</v>
      </c>
    </row>
    <row r="22" spans="1:30" x14ac:dyDescent="0.25">
      <c r="A22" s="4">
        <v>49</v>
      </c>
      <c r="V22" s="8">
        <f t="shared" ca="1" si="0"/>
        <v>49</v>
      </c>
      <c r="W22" s="4">
        <f t="shared" ca="1" si="3"/>
        <v>34</v>
      </c>
      <c r="X22" s="4"/>
      <c r="Z22" s="7"/>
      <c r="AC22" s="9">
        <v>48</v>
      </c>
      <c r="AD22">
        <f t="shared" ca="1" si="2"/>
        <v>1.7049617101317693E-2</v>
      </c>
    </row>
    <row r="23" spans="1:30" x14ac:dyDescent="0.25">
      <c r="A23" s="4">
        <v>49</v>
      </c>
      <c r="V23" s="8">
        <f t="shared" ca="1" si="0"/>
        <v>49</v>
      </c>
      <c r="W23" s="4">
        <f t="shared" ca="1" si="3"/>
        <v>24</v>
      </c>
      <c r="X23" s="4"/>
      <c r="Z23" s="7"/>
      <c r="AC23" s="8">
        <v>48</v>
      </c>
      <c r="AD23">
        <f t="shared" ca="1" si="2"/>
        <v>0.1192739627421564</v>
      </c>
    </row>
    <row r="24" spans="1:30" x14ac:dyDescent="0.25">
      <c r="A24" s="4">
        <v>49</v>
      </c>
      <c r="V24" s="8">
        <f t="shared" ca="1" si="0"/>
        <v>52</v>
      </c>
      <c r="W24" s="4">
        <f t="shared" ca="1" si="3"/>
        <v>9</v>
      </c>
      <c r="X24" s="4"/>
      <c r="AC24" s="9">
        <v>49</v>
      </c>
      <c r="AD24">
        <f t="shared" ca="1" si="2"/>
        <v>0.62821140665661324</v>
      </c>
    </row>
    <row r="25" spans="1:30" x14ac:dyDescent="0.25">
      <c r="A25" s="4">
        <v>49</v>
      </c>
      <c r="V25" s="8">
        <f t="shared" ca="1" si="0"/>
        <v>52</v>
      </c>
      <c r="W25" s="4">
        <f t="shared" ca="1" si="3"/>
        <v>19</v>
      </c>
      <c r="X25" s="4"/>
      <c r="AC25" s="8">
        <v>54</v>
      </c>
      <c r="AD25">
        <f t="shared" ca="1" si="2"/>
        <v>2.8232925641739293E-2</v>
      </c>
    </row>
    <row r="26" spans="1:30" x14ac:dyDescent="0.25">
      <c r="A26" s="4">
        <v>50</v>
      </c>
      <c r="V26" s="8">
        <f t="shared" ca="1" si="0"/>
        <v>51</v>
      </c>
      <c r="W26" s="4">
        <f t="shared" ca="1" si="3"/>
        <v>2</v>
      </c>
      <c r="X26" s="4"/>
      <c r="AC26" s="9">
        <v>50</v>
      </c>
      <c r="AD26">
        <f t="shared" ca="1" si="2"/>
        <v>0.70089802502955789</v>
      </c>
    </row>
    <row r="27" spans="1:30" x14ac:dyDescent="0.25">
      <c r="A27" s="4">
        <v>50</v>
      </c>
      <c r="V27" s="8">
        <f t="shared" ca="1" si="0"/>
        <v>49</v>
      </c>
      <c r="W27" s="4">
        <f t="shared" ca="1" si="3"/>
        <v>64</v>
      </c>
      <c r="X27" s="4"/>
      <c r="AC27" s="9">
        <v>54</v>
      </c>
      <c r="AD27">
        <f t="shared" ca="1" si="2"/>
        <v>2.5541768066730142E-2</v>
      </c>
    </row>
    <row r="28" spans="1:30" x14ac:dyDescent="0.25">
      <c r="A28" s="4">
        <v>51</v>
      </c>
      <c r="V28" s="8">
        <f t="shared" ca="1" si="0"/>
        <v>50</v>
      </c>
      <c r="W28" s="4">
        <f t="shared" ca="1" si="3"/>
        <v>17</v>
      </c>
      <c r="X28" s="4"/>
      <c r="AC28" s="8">
        <v>48</v>
      </c>
      <c r="AD28">
        <f t="shared" ca="1" si="2"/>
        <v>0.49325927522355506</v>
      </c>
    </row>
    <row r="29" spans="1:30" x14ac:dyDescent="0.25">
      <c r="A29" s="4">
        <v>49</v>
      </c>
      <c r="V29" s="8">
        <f t="shared" ca="1" si="0"/>
        <v>57</v>
      </c>
      <c r="W29" s="4">
        <f t="shared" ca="1" si="3"/>
        <v>11</v>
      </c>
      <c r="X29" s="4"/>
      <c r="AC29" s="8">
        <v>50</v>
      </c>
      <c r="AD29">
        <f t="shared" ca="1" si="2"/>
        <v>0.62942961912272777</v>
      </c>
    </row>
    <row r="30" spans="1:30" x14ac:dyDescent="0.25">
      <c r="A30" s="4">
        <v>50</v>
      </c>
      <c r="V30" s="8">
        <f t="shared" ca="1" si="0"/>
        <v>49</v>
      </c>
      <c r="W30" s="4">
        <f t="shared" ca="1" si="3"/>
        <v>25</v>
      </c>
      <c r="X30" s="4"/>
      <c r="AC30" s="9">
        <v>48</v>
      </c>
      <c r="AD30">
        <f t="shared" ca="1" si="2"/>
        <v>0.19522419488226794</v>
      </c>
    </row>
    <row r="31" spans="1:30" x14ac:dyDescent="0.25">
      <c r="A31" s="4">
        <v>50</v>
      </c>
      <c r="V31" s="10">
        <f t="shared" ca="1" si="0"/>
        <v>50</v>
      </c>
      <c r="W31" s="4">
        <f t="shared" ca="1" si="3"/>
        <v>12</v>
      </c>
      <c r="X31" s="4"/>
      <c r="AC31" s="8">
        <v>53</v>
      </c>
      <c r="AD31">
        <f t="shared" ca="1" si="2"/>
        <v>0.81787176367567005</v>
      </c>
    </row>
    <row r="32" spans="1:30" x14ac:dyDescent="0.25">
      <c r="A32" s="4">
        <v>48</v>
      </c>
      <c r="W32" s="4">
        <f t="shared" ca="1" si="3"/>
        <v>67</v>
      </c>
      <c r="X32" s="4"/>
      <c r="AC32" s="10">
        <v>50</v>
      </c>
      <c r="AD32">
        <f t="shared" ca="1" si="2"/>
        <v>0.48957453954292818</v>
      </c>
    </row>
    <row r="33" spans="1:30" x14ac:dyDescent="0.25">
      <c r="A33" s="4">
        <v>47</v>
      </c>
      <c r="AC33" s="9">
        <v>48</v>
      </c>
      <c r="AD33">
        <f t="shared" ca="1" si="2"/>
        <v>0.36868519439323322</v>
      </c>
    </row>
    <row r="34" spans="1:30" x14ac:dyDescent="0.25">
      <c r="A34" s="4">
        <v>49</v>
      </c>
      <c r="AC34" s="9">
        <v>49</v>
      </c>
      <c r="AD34">
        <f t="shared" ca="1" si="2"/>
        <v>0.29269173381242086</v>
      </c>
    </row>
    <row r="35" spans="1:30" x14ac:dyDescent="0.25">
      <c r="A35" s="4">
        <v>48</v>
      </c>
      <c r="AC35" s="9">
        <v>51</v>
      </c>
      <c r="AD35">
        <f t="shared" ref="AD35:AD66" ca="1" si="4">RAND()</f>
        <v>0.33311649966970158</v>
      </c>
    </row>
    <row r="36" spans="1:30" x14ac:dyDescent="0.25">
      <c r="A36" s="4">
        <v>50</v>
      </c>
      <c r="AC36" s="9">
        <v>50</v>
      </c>
      <c r="AD36">
        <f t="shared" ca="1" si="4"/>
        <v>0.68011286259651249</v>
      </c>
    </row>
    <row r="37" spans="1:30" x14ac:dyDescent="0.25">
      <c r="A37" s="4">
        <v>48</v>
      </c>
      <c r="AC37" s="8">
        <v>56</v>
      </c>
      <c r="AD37">
        <f t="shared" ca="1" si="4"/>
        <v>0.2377506260366532</v>
      </c>
    </row>
    <row r="38" spans="1:30" x14ac:dyDescent="0.25">
      <c r="A38" s="4">
        <v>49</v>
      </c>
      <c r="AC38" s="8">
        <v>52</v>
      </c>
      <c r="AD38">
        <f t="shared" ca="1" si="4"/>
        <v>0.20388616218163513</v>
      </c>
    </row>
    <row r="39" spans="1:30" x14ac:dyDescent="0.25">
      <c r="A39" s="4">
        <v>51</v>
      </c>
      <c r="AC39" s="9">
        <v>52</v>
      </c>
      <c r="AD39">
        <f t="shared" ca="1" si="4"/>
        <v>0.11345232921622717</v>
      </c>
    </row>
    <row r="40" spans="1:30" x14ac:dyDescent="0.25">
      <c r="A40" s="4">
        <v>52</v>
      </c>
      <c r="AC40" s="9">
        <v>49</v>
      </c>
      <c r="AD40">
        <f t="shared" ca="1" si="4"/>
        <v>0.43859041592618264</v>
      </c>
    </row>
    <row r="41" spans="1:30" x14ac:dyDescent="0.25">
      <c r="A41" s="4">
        <v>50</v>
      </c>
      <c r="AC41" s="8">
        <v>51</v>
      </c>
      <c r="AD41">
        <f t="shared" ca="1" si="4"/>
        <v>0.46381154762653654</v>
      </c>
    </row>
    <row r="42" spans="1:30" x14ac:dyDescent="0.25">
      <c r="A42" s="4">
        <v>53</v>
      </c>
      <c r="AC42" s="8">
        <v>49</v>
      </c>
      <c r="AD42">
        <f t="shared" ca="1" si="4"/>
        <v>0.79339466839902695</v>
      </c>
    </row>
    <row r="43" spans="1:30" x14ac:dyDescent="0.25">
      <c r="A43" s="4">
        <v>53</v>
      </c>
      <c r="AC43" s="8">
        <v>49</v>
      </c>
      <c r="AD43">
        <f t="shared" ca="1" si="4"/>
        <v>0.27351584577806498</v>
      </c>
    </row>
    <row r="44" spans="1:30" x14ac:dyDescent="0.25">
      <c r="A44" s="4">
        <v>50</v>
      </c>
      <c r="AC44" s="8">
        <v>51</v>
      </c>
      <c r="AD44">
        <f t="shared" ca="1" si="4"/>
        <v>0.74274564826243117</v>
      </c>
    </row>
    <row r="45" spans="1:30" x14ac:dyDescent="0.25">
      <c r="A45" s="4">
        <v>52</v>
      </c>
      <c r="AC45" s="8">
        <v>51</v>
      </c>
      <c r="AD45">
        <f t="shared" ca="1" si="4"/>
        <v>0.99494429714417976</v>
      </c>
    </row>
    <row r="46" spans="1:30" x14ac:dyDescent="0.25">
      <c r="A46" s="4">
        <v>50</v>
      </c>
      <c r="AC46" s="9">
        <v>48</v>
      </c>
      <c r="AD46">
        <f t="shared" ca="1" si="4"/>
        <v>0.68709625732140112</v>
      </c>
    </row>
    <row r="47" spans="1:30" x14ac:dyDescent="0.25">
      <c r="A47" s="4">
        <v>50</v>
      </c>
      <c r="AC47" s="9">
        <v>53</v>
      </c>
      <c r="AD47">
        <f t="shared" ca="1" si="4"/>
        <v>0.63794304391385437</v>
      </c>
    </row>
    <row r="48" spans="1:30" x14ac:dyDescent="0.25">
      <c r="A48" s="4">
        <v>49</v>
      </c>
      <c r="AC48" s="8">
        <v>51</v>
      </c>
      <c r="AD48">
        <f t="shared" ca="1" si="4"/>
        <v>0.24859870450878929</v>
      </c>
    </row>
    <row r="49" spans="1:30" x14ac:dyDescent="0.25">
      <c r="A49" s="4">
        <v>52</v>
      </c>
      <c r="AC49" s="9">
        <v>53</v>
      </c>
      <c r="AD49">
        <f t="shared" ca="1" si="4"/>
        <v>0.58395908488763282</v>
      </c>
    </row>
    <row r="50" spans="1:30" x14ac:dyDescent="0.25">
      <c r="A50" s="4">
        <v>48</v>
      </c>
      <c r="AC50" s="9">
        <v>57</v>
      </c>
      <c r="AD50">
        <f t="shared" ca="1" si="4"/>
        <v>0.93615805387841766</v>
      </c>
    </row>
    <row r="51" spans="1:30" x14ac:dyDescent="0.25">
      <c r="A51" s="4">
        <v>48</v>
      </c>
      <c r="AC51" s="8">
        <v>48</v>
      </c>
      <c r="AD51">
        <f t="shared" ca="1" si="4"/>
        <v>9.5291625891360532E-3</v>
      </c>
    </row>
    <row r="52" spans="1:30" x14ac:dyDescent="0.25">
      <c r="A52" s="4">
        <v>52</v>
      </c>
      <c r="AC52" s="9">
        <v>49</v>
      </c>
      <c r="AD52">
        <f t="shared" ca="1" si="4"/>
        <v>0.85702722492740535</v>
      </c>
    </row>
    <row r="53" spans="1:30" x14ac:dyDescent="0.25">
      <c r="A53" s="4">
        <v>51</v>
      </c>
      <c r="AC53" s="9">
        <v>49</v>
      </c>
      <c r="AD53">
        <f t="shared" ca="1" si="4"/>
        <v>9.1490304362760733E-2</v>
      </c>
    </row>
    <row r="54" spans="1:30" x14ac:dyDescent="0.25">
      <c r="A54" s="4">
        <v>50</v>
      </c>
      <c r="AC54" s="9">
        <v>54</v>
      </c>
      <c r="AD54">
        <f t="shared" ca="1" si="4"/>
        <v>0.52001524762541607</v>
      </c>
    </row>
    <row r="55" spans="1:30" x14ac:dyDescent="0.25">
      <c r="A55" s="4">
        <v>48</v>
      </c>
      <c r="AC55" s="8">
        <v>49</v>
      </c>
      <c r="AD55">
        <f t="shared" ca="1" si="4"/>
        <v>0.96152184642187777</v>
      </c>
    </row>
    <row r="56" spans="1:30" x14ac:dyDescent="0.25">
      <c r="A56" s="4">
        <v>56</v>
      </c>
      <c r="AC56" s="8">
        <v>50</v>
      </c>
      <c r="AD56">
        <f t="shared" ca="1" si="4"/>
        <v>0.78203596551075749</v>
      </c>
    </row>
    <row r="57" spans="1:30" x14ac:dyDescent="0.25">
      <c r="A57" s="4">
        <v>48</v>
      </c>
      <c r="AC57" s="8">
        <v>52</v>
      </c>
      <c r="AD57">
        <f t="shared" ca="1" si="4"/>
        <v>0.39462884666498477</v>
      </c>
    </row>
    <row r="58" spans="1:30" x14ac:dyDescent="0.25">
      <c r="A58" s="4">
        <v>51</v>
      </c>
      <c r="AC58" s="9">
        <v>50</v>
      </c>
      <c r="AD58">
        <f t="shared" ca="1" si="4"/>
        <v>1.4636199240519732E-3</v>
      </c>
    </row>
    <row r="59" spans="1:30" x14ac:dyDescent="0.25">
      <c r="A59" s="4">
        <v>49</v>
      </c>
      <c r="AC59" s="8">
        <v>51</v>
      </c>
      <c r="AD59">
        <f t="shared" ca="1" si="4"/>
        <v>0.78346834079584504</v>
      </c>
    </row>
    <row r="60" spans="1:30" x14ac:dyDescent="0.25">
      <c r="A60" s="4">
        <v>48</v>
      </c>
      <c r="AC60" s="8">
        <v>48</v>
      </c>
      <c r="AD60">
        <f t="shared" ca="1" si="4"/>
        <v>0.51581623603381221</v>
      </c>
    </row>
    <row r="61" spans="1:30" x14ac:dyDescent="0.25">
      <c r="A61" s="4">
        <v>50</v>
      </c>
      <c r="AC61" s="8">
        <v>51</v>
      </c>
      <c r="AD61">
        <f t="shared" ca="1" si="4"/>
        <v>0.53725037226156236</v>
      </c>
    </row>
    <row r="62" spans="1:30" x14ac:dyDescent="0.25">
      <c r="A62" s="4">
        <v>50</v>
      </c>
      <c r="AC62" s="9">
        <v>51</v>
      </c>
      <c r="AD62">
        <f t="shared" ca="1" si="4"/>
        <v>0.76804215158405631</v>
      </c>
    </row>
    <row r="63" spans="1:30" x14ac:dyDescent="0.25">
      <c r="A63" s="4">
        <v>50</v>
      </c>
      <c r="AC63" s="9">
        <v>51</v>
      </c>
      <c r="AD63">
        <f t="shared" ca="1" si="4"/>
        <v>0.12688574691415799</v>
      </c>
    </row>
    <row r="64" spans="1:30" x14ac:dyDescent="0.25">
      <c r="A64" s="4">
        <v>49</v>
      </c>
      <c r="AC64" s="8">
        <v>50</v>
      </c>
      <c r="AD64">
        <f t="shared" ca="1" si="4"/>
        <v>0.6437641191831871</v>
      </c>
    </row>
    <row r="65" spans="1:30" x14ac:dyDescent="0.25">
      <c r="A65" s="4">
        <v>49</v>
      </c>
      <c r="AC65" s="8">
        <v>49</v>
      </c>
      <c r="AD65">
        <f t="shared" ca="1" si="4"/>
        <v>0.56765195917279498</v>
      </c>
    </row>
    <row r="66" spans="1:30" x14ac:dyDescent="0.25">
      <c r="A66" s="4">
        <v>50</v>
      </c>
      <c r="AC66" s="9">
        <v>48</v>
      </c>
      <c r="AD66">
        <f t="shared" ca="1" si="4"/>
        <v>1.6063618271591862E-2</v>
      </c>
    </row>
    <row r="67" spans="1:30" x14ac:dyDescent="0.25">
      <c r="A67" s="4">
        <v>48</v>
      </c>
      <c r="AC67" s="9">
        <v>50</v>
      </c>
      <c r="AD67">
        <f t="shared" ref="AD67:AD102" ca="1" si="5">RAND()</f>
        <v>0.35918469126091968</v>
      </c>
    </row>
    <row r="68" spans="1:30" x14ac:dyDescent="0.25">
      <c r="A68" s="4">
        <v>51</v>
      </c>
      <c r="AC68" s="8">
        <v>52</v>
      </c>
      <c r="AD68">
        <f t="shared" ca="1" si="5"/>
        <v>0.37162335398640955</v>
      </c>
    </row>
    <row r="69" spans="1:30" x14ac:dyDescent="0.25">
      <c r="A69" s="4">
        <v>49</v>
      </c>
      <c r="AC69" s="9">
        <v>50</v>
      </c>
      <c r="AD69">
        <f t="shared" ca="1" si="5"/>
        <v>0.81471345692947494</v>
      </c>
    </row>
    <row r="70" spans="1:30" x14ac:dyDescent="0.25">
      <c r="A70" s="4">
        <v>48</v>
      </c>
      <c r="AC70" s="8">
        <v>50</v>
      </c>
      <c r="AD70">
        <f t="shared" ca="1" si="5"/>
        <v>0.9182216391321818</v>
      </c>
    </row>
    <row r="71" spans="1:30" x14ac:dyDescent="0.25">
      <c r="A71" s="4">
        <v>48</v>
      </c>
      <c r="AC71" s="8">
        <v>49</v>
      </c>
      <c r="AD71">
        <f t="shared" ca="1" si="5"/>
        <v>0.63399145619067387</v>
      </c>
    </row>
    <row r="72" spans="1:30" x14ac:dyDescent="0.25">
      <c r="A72" s="4">
        <v>54</v>
      </c>
      <c r="AC72" s="8">
        <v>50</v>
      </c>
      <c r="AD72">
        <f t="shared" ca="1" si="5"/>
        <v>0.96078372692570913</v>
      </c>
    </row>
    <row r="73" spans="1:30" x14ac:dyDescent="0.25">
      <c r="A73" s="4">
        <v>50</v>
      </c>
      <c r="AC73" s="8">
        <v>49</v>
      </c>
      <c r="AD73">
        <f t="shared" ca="1" si="5"/>
        <v>0.22761254399795761</v>
      </c>
    </row>
    <row r="74" spans="1:30" x14ac:dyDescent="0.25">
      <c r="A74" s="4">
        <v>50</v>
      </c>
      <c r="AC74" s="8">
        <v>50</v>
      </c>
      <c r="AD74">
        <f t="shared" ca="1" si="5"/>
        <v>0.65469332133808811</v>
      </c>
    </row>
    <row r="75" spans="1:30" x14ac:dyDescent="0.25">
      <c r="A75" s="4">
        <v>48</v>
      </c>
      <c r="AC75" s="8">
        <v>49</v>
      </c>
      <c r="AD75">
        <f t="shared" ca="1" si="5"/>
        <v>0.49231546739624921</v>
      </c>
    </row>
    <row r="76" spans="1:30" x14ac:dyDescent="0.25">
      <c r="A76" s="4">
        <v>48</v>
      </c>
      <c r="AC76" s="8">
        <v>48</v>
      </c>
      <c r="AD76">
        <f t="shared" ca="1" si="5"/>
        <v>0.73683648776697941</v>
      </c>
    </row>
    <row r="77" spans="1:30" x14ac:dyDescent="0.25">
      <c r="A77" s="4">
        <v>50</v>
      </c>
      <c r="AC77" s="9">
        <v>51</v>
      </c>
      <c r="AD77">
        <f t="shared" ca="1" si="5"/>
        <v>0.72536791879396612</v>
      </c>
    </row>
    <row r="78" spans="1:30" x14ac:dyDescent="0.25">
      <c r="A78" s="4">
        <v>49</v>
      </c>
      <c r="AC78" s="9">
        <v>52</v>
      </c>
      <c r="AD78">
        <f t="shared" ca="1" si="5"/>
        <v>0.77222118525955674</v>
      </c>
    </row>
    <row r="79" spans="1:30" x14ac:dyDescent="0.25">
      <c r="A79" s="4">
        <v>49</v>
      </c>
      <c r="AC79" s="8">
        <v>49</v>
      </c>
      <c r="AD79">
        <f t="shared" ca="1" si="5"/>
        <v>0.10126910430355984</v>
      </c>
    </row>
    <row r="80" spans="1:30" x14ac:dyDescent="0.25">
      <c r="A80" s="4">
        <v>49</v>
      </c>
      <c r="AC80" s="9">
        <v>52</v>
      </c>
      <c r="AD80">
        <f t="shared" ca="1" si="5"/>
        <v>0.15104823447444193</v>
      </c>
    </row>
    <row r="81" spans="1:30" x14ac:dyDescent="0.25">
      <c r="A81" s="4">
        <v>51</v>
      </c>
      <c r="AC81" s="9">
        <v>48</v>
      </c>
      <c r="AD81">
        <f t="shared" ca="1" si="5"/>
        <v>0.4882569117597666</v>
      </c>
    </row>
    <row r="82" spans="1:30" x14ac:dyDescent="0.25">
      <c r="A82" s="4">
        <v>51</v>
      </c>
      <c r="AC82" s="9">
        <v>50</v>
      </c>
      <c r="AD82">
        <f t="shared" ca="1" si="5"/>
        <v>0.78378011430180095</v>
      </c>
    </row>
    <row r="83" spans="1:30" x14ac:dyDescent="0.25">
      <c r="A83" s="4">
        <v>48</v>
      </c>
      <c r="AC83" s="8">
        <v>48</v>
      </c>
      <c r="AD83">
        <f t="shared" ca="1" si="5"/>
        <v>0.50694092628488285</v>
      </c>
    </row>
    <row r="84" spans="1:30" x14ac:dyDescent="0.25">
      <c r="A84" s="4">
        <v>50</v>
      </c>
      <c r="AC84" s="9">
        <v>50</v>
      </c>
      <c r="AD84">
        <f t="shared" ca="1" si="5"/>
        <v>0.13329542655549664</v>
      </c>
    </row>
    <row r="85" spans="1:30" x14ac:dyDescent="0.25">
      <c r="A85" s="4">
        <v>50</v>
      </c>
      <c r="AC85" s="9">
        <v>48</v>
      </c>
      <c r="AD85">
        <f t="shared" ca="1" si="5"/>
        <v>0.37930590333545833</v>
      </c>
    </row>
    <row r="86" spans="1:30" x14ac:dyDescent="0.25">
      <c r="A86" s="4">
        <v>51</v>
      </c>
      <c r="AC86" s="8">
        <v>51</v>
      </c>
      <c r="AD86">
        <f t="shared" ca="1" si="5"/>
        <v>0.33949091409116505</v>
      </c>
    </row>
    <row r="87" spans="1:30" x14ac:dyDescent="0.25">
      <c r="A87" s="4">
        <v>50</v>
      </c>
      <c r="AC87" s="8">
        <v>51</v>
      </c>
      <c r="AD87">
        <f t="shared" ca="1" si="5"/>
        <v>0.61453396497380941</v>
      </c>
    </row>
    <row r="88" spans="1:30" x14ac:dyDescent="0.25">
      <c r="A88" s="4">
        <v>48</v>
      </c>
      <c r="AC88" s="9">
        <v>50</v>
      </c>
      <c r="AD88">
        <f t="shared" ca="1" si="5"/>
        <v>0.57744130918041847</v>
      </c>
    </row>
    <row r="89" spans="1:30" x14ac:dyDescent="0.25">
      <c r="A89" s="4">
        <v>48</v>
      </c>
      <c r="AC89" s="9">
        <v>51</v>
      </c>
      <c r="AD89">
        <f t="shared" ca="1" si="5"/>
        <v>0.54974965961663325</v>
      </c>
    </row>
    <row r="90" spans="1:30" x14ac:dyDescent="0.25">
      <c r="A90" s="4">
        <v>48</v>
      </c>
      <c r="AC90" s="9">
        <v>47</v>
      </c>
      <c r="AD90">
        <f t="shared" ca="1" si="5"/>
        <v>0.18307160454668436</v>
      </c>
    </row>
    <row r="91" spans="1:30" x14ac:dyDescent="0.25">
      <c r="A91" s="4">
        <v>49</v>
      </c>
      <c r="AC91" s="9">
        <v>52</v>
      </c>
      <c r="AD91">
        <f t="shared" ca="1" si="5"/>
        <v>0.36155787412114293</v>
      </c>
    </row>
    <row r="92" spans="1:30" x14ac:dyDescent="0.25">
      <c r="A92" s="4">
        <v>51</v>
      </c>
      <c r="AC92" s="9">
        <v>48</v>
      </c>
      <c r="AD92">
        <f t="shared" ca="1" si="5"/>
        <v>0.98445371818502292</v>
      </c>
    </row>
    <row r="93" spans="1:30" x14ac:dyDescent="0.25">
      <c r="A93" s="4">
        <v>49</v>
      </c>
      <c r="AC93" s="9">
        <v>50</v>
      </c>
      <c r="AD93">
        <f t="shared" ca="1" si="5"/>
        <v>0.62454583993834389</v>
      </c>
    </row>
    <row r="94" spans="1:30" x14ac:dyDescent="0.25">
      <c r="A94" s="4">
        <v>48</v>
      </c>
      <c r="AC94" s="9">
        <v>52</v>
      </c>
      <c r="AD94">
        <f t="shared" ca="1" si="5"/>
        <v>7.6424089178849686E-2</v>
      </c>
    </row>
    <row r="95" spans="1:30" x14ac:dyDescent="0.25">
      <c r="A95" s="4">
        <v>51</v>
      </c>
      <c r="AC95" s="8">
        <v>48</v>
      </c>
      <c r="AD95">
        <f t="shared" ca="1" si="5"/>
        <v>9.3568523004394444E-2</v>
      </c>
    </row>
    <row r="96" spans="1:30" x14ac:dyDescent="0.25">
      <c r="A96" s="4">
        <v>49</v>
      </c>
      <c r="AC96" s="9">
        <v>50</v>
      </c>
      <c r="AD96">
        <f t="shared" ca="1" si="5"/>
        <v>0.67968123213105092</v>
      </c>
    </row>
    <row r="97" spans="1:30" x14ac:dyDescent="0.25">
      <c r="A97" s="4">
        <v>49</v>
      </c>
      <c r="AC97" s="8">
        <v>50</v>
      </c>
      <c r="AD97">
        <f t="shared" ca="1" si="5"/>
        <v>0.84884315561442536</v>
      </c>
    </row>
    <row r="98" spans="1:30" x14ac:dyDescent="0.25">
      <c r="A98" s="4">
        <v>48</v>
      </c>
      <c r="AC98" s="8">
        <v>48</v>
      </c>
      <c r="AD98">
        <f t="shared" ca="1" si="5"/>
        <v>0.864750424780658</v>
      </c>
    </row>
    <row r="99" spans="1:30" x14ac:dyDescent="0.25">
      <c r="A99" s="4">
        <v>50</v>
      </c>
      <c r="AC99" s="8">
        <v>51</v>
      </c>
      <c r="AD99">
        <f t="shared" ca="1" si="5"/>
        <v>0.31151707348741586</v>
      </c>
    </row>
    <row r="100" spans="1:30" x14ac:dyDescent="0.25">
      <c r="A100" s="4">
        <v>51</v>
      </c>
      <c r="AC100" s="9">
        <v>48</v>
      </c>
      <c r="AD100">
        <f t="shared" ca="1" si="5"/>
        <v>0.63023770118354594</v>
      </c>
    </row>
    <row r="101" spans="1:30" x14ac:dyDescent="0.25">
      <c r="A101" s="4">
        <v>52</v>
      </c>
      <c r="AC101" s="9">
        <v>50</v>
      </c>
      <c r="AD101">
        <f t="shared" ca="1" si="5"/>
        <v>0.19750465177759524</v>
      </c>
    </row>
    <row r="102" spans="1:30" x14ac:dyDescent="0.25">
      <c r="AC102" s="11">
        <v>52</v>
      </c>
      <c r="AD102">
        <f t="shared" ca="1" si="5"/>
        <v>0.13279803627158848</v>
      </c>
    </row>
  </sheetData>
  <sortState xmlns:xlrd2="http://schemas.microsoft.com/office/spreadsheetml/2017/richdata2" ref="AC3:AD102">
    <sortCondition ref="AD3:AD102"/>
  </sortState>
  <pageMargins left="0.7" right="0.7" top="0.75" bottom="0.75" header="0.3" footer="0.3"/>
  <pageSetup orientation="portrait" horizontalDpi="200" verticalDpi="200" r:id="rId3"/>
  <drawing r:id="rId4"/>
  <tableParts count="3"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Activity summary</vt:lpstr>
      <vt:lpstr>List2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Tvrtko Tadic</cp:lastModifiedBy>
  <dcterms:created xsi:type="dcterms:W3CDTF">2016-04-20T02:43:33Z</dcterms:created>
  <dcterms:modified xsi:type="dcterms:W3CDTF">2023-09-23T22:33:13Z</dcterms:modified>
</cp:coreProperties>
</file>